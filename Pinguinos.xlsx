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efd702de3e8c77/Escritorio/Bootcamp/excel/Semana1/"/>
    </mc:Choice>
  </mc:AlternateContent>
  <xr:revisionPtr revIDLastSave="329" documentId="13_ncr:1_{FC4186E1-5004-4C64-81CC-5B21BA965A6D}" xr6:coauthVersionLast="47" xr6:coauthVersionMax="47" xr10:uidLastSave="{21DEDF43-D9DC-4A01-A2B8-B9CF84D9BCA3}"/>
  <bookViews>
    <workbookView xWindow="-108" yWindow="-108" windowWidth="23256" windowHeight="12456" firstSheet="2" activeTab="7" xr2:uid="{D47B34D6-53EF-471D-9060-CE5A3157672E}"/>
  </bookViews>
  <sheets>
    <sheet name="penguins_size" sheetId="2" r:id="rId1"/>
    <sheet name="Islas" sheetId="6" r:id="rId2"/>
    <sheet name="Sexo" sheetId="5" r:id="rId3"/>
    <sheet name="Especies" sheetId="4" r:id="rId4"/>
    <sheet name="Hoja1" sheetId="9" r:id="rId5"/>
    <sheet name="Tablas dinámicas" sheetId="1" r:id="rId6"/>
    <sheet name="Gráficas" sheetId="7" r:id="rId7"/>
    <sheet name="Dashboard" sheetId="8" r:id="rId8"/>
  </sheets>
  <definedNames>
    <definedName name="DatosExternos_1" localSheetId="0" hidden="1">penguins_size!$A$1:$I$343</definedName>
    <definedName name="DatosExternos_1" localSheetId="2" hidden="1">Sexo!$A$1:$A$3</definedName>
    <definedName name="DatosExternos_2" localSheetId="3" hidden="1">Especies!$A$1:$A$4</definedName>
    <definedName name="DatosExternos_2" localSheetId="1" hidden="1">Islas!$A$1:$A$4</definedName>
    <definedName name="SegmentaciónDeDatos_species">#N/A</definedName>
  </definedNames>
  <calcPr calcId="191029"/>
  <pivotCaches>
    <pivotCache cacheId="5" r:id="rId9"/>
    <pivotCache cacheId="54" r:id="rId10"/>
    <pivotCache cacheId="57" r:id="rId11"/>
    <pivotCache cacheId="60" r:id="rId12"/>
    <pivotCache cacheId="63" r:id="rId13"/>
    <pivotCache cacheId="66" r:id="rId14"/>
  </pivotCaches>
  <extLst>
    <ext xmlns:x14="http://schemas.microsoft.com/office/spreadsheetml/2009/9/main" uri="{876F7934-8845-4945-9796-88D515C7AA90}">
      <x14:pivotCaches>
        <pivotCache cacheId="6" r:id="rId15"/>
      </x14:pivotCaches>
    </ex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enguins_size_39b51cb0-2c74-4cf2-876f-ee8781c93edf" name="penguins_size" connection="Consulta - penguins_size"/>
          <x15:modelTable id="Especies_8dce3d4b-2b49-4106-ad47-eaa283b5c985" name="Especies" connection="Consulta - Especies"/>
          <x15:modelTable id="Sexo_6a4be70d-7498-474c-9837-b25d4c5573af" name="Sexo" connection="Consulta - Sexo"/>
          <x15:modelTable id="Islas_37cdc163-5541-47f5-a381-03f7ce3a824c" name="Islas" connection="Consulta - Islas"/>
        </x15:modelTables>
        <x15:modelRelationships>
          <x15:modelRelationship fromTable="penguins_size" fromColumn="sex" toTable="Sexo" toColumn="sex"/>
          <x15:modelRelationship fromTable="penguins_size" fromColumn="island" toTable="Islas" toColumn="island"/>
          <x15:modelRelationship fromTable="penguins_size" fromColumn="species" toTable="Especies" toColumn="speci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3" i="9" l="1"/>
  <c r="L33" i="9"/>
  <c r="K33" i="9"/>
  <c r="J33" i="9"/>
  <c r="I33" i="9"/>
  <c r="H33" i="9"/>
  <c r="G33" i="9"/>
  <c r="F33" i="9"/>
  <c r="E33" i="9"/>
  <c r="D33" i="9"/>
  <c r="C33" i="9"/>
  <c r="B33" i="9"/>
  <c r="M32" i="9"/>
  <c r="L32" i="9"/>
  <c r="K32" i="9"/>
  <c r="J32" i="9"/>
  <c r="I32" i="9"/>
  <c r="H32" i="9"/>
  <c r="G32" i="9"/>
  <c r="F32" i="9"/>
  <c r="E32" i="9"/>
  <c r="D32" i="9"/>
  <c r="C32" i="9"/>
  <c r="B32" i="9"/>
  <c r="M31" i="9"/>
  <c r="L31" i="9"/>
  <c r="J31" i="9"/>
  <c r="I31" i="9"/>
  <c r="H31" i="9"/>
  <c r="G31" i="9"/>
  <c r="F31" i="9"/>
  <c r="K31" i="9"/>
  <c r="E31" i="9"/>
  <c r="D31" i="9"/>
  <c r="C31" i="9"/>
  <c r="B31" i="9"/>
  <c r="B6" i="9"/>
  <c r="M6" i="9"/>
  <c r="L6" i="9"/>
  <c r="K6" i="9"/>
  <c r="J6" i="9"/>
  <c r="C6" i="9"/>
  <c r="D6" i="9"/>
  <c r="E6" i="9"/>
  <c r="F6" i="9"/>
  <c r="G6" i="9"/>
  <c r="H6" i="9"/>
  <c r="I6" i="9"/>
  <c r="M2" i="9"/>
  <c r="L2" i="9"/>
  <c r="K2" i="9"/>
  <c r="J2" i="9"/>
  <c r="I2" i="9"/>
  <c r="H2" i="9"/>
  <c r="G2" i="9"/>
  <c r="F2" i="9"/>
  <c r="E2" i="9"/>
  <c r="D2" i="9"/>
  <c r="C2" i="9"/>
  <c r="B2" i="9"/>
  <c r="L159" i="2"/>
  <c r="L16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BF896-3AF2-4477-807D-764BC6414A01}" name="Consulta - Especies" description="Conexión a la consulta 'Especies' en el libro." type="100" refreshedVersion="8" minRefreshableVersion="5">
    <extLst>
      <ext xmlns:x15="http://schemas.microsoft.com/office/spreadsheetml/2010/11/main" uri="{DE250136-89BD-433C-8126-D09CA5730AF9}">
        <x15:connection id="6df93999-5c42-4df1-8a82-13aebcbb900e"/>
      </ext>
    </extLst>
  </connection>
  <connection id="2" xr16:uid="{D1DB4526-4509-4F29-9512-6CAB5A9AC43F}" name="Consulta - Islas" description="Conexión a la consulta 'Islas' en el libro." type="100" refreshedVersion="8" minRefreshableVersion="5">
    <extLst>
      <ext xmlns:x15="http://schemas.microsoft.com/office/spreadsheetml/2010/11/main" uri="{DE250136-89BD-433C-8126-D09CA5730AF9}">
        <x15:connection id="16cd4031-5aae-4e17-b85f-c5f7df3276a4"/>
      </ext>
    </extLst>
  </connection>
  <connection id="3" xr16:uid="{F08275A2-9CAC-412E-989C-62174F40C3E3}" name="Consulta - penguins_size" description="Conexión a la consulta 'penguins_size' en el libro." type="100" refreshedVersion="8" minRefreshableVersion="5">
    <extLst>
      <ext xmlns:x15="http://schemas.microsoft.com/office/spreadsheetml/2010/11/main" uri="{DE250136-89BD-433C-8126-D09CA5730AF9}">
        <x15:connection id="54a0ece7-ce3f-4c18-99b9-e47bd6181de9"/>
      </ext>
    </extLst>
  </connection>
  <connection id="4" xr16:uid="{E1CF7D1E-755D-43E4-BA68-A9130921B100}" name="Consulta - Sexo" description="Conexión a la consulta 'Sexo' en el libro." type="100" refreshedVersion="8" minRefreshableVersion="5">
    <extLst>
      <ext xmlns:x15="http://schemas.microsoft.com/office/spreadsheetml/2010/11/main" uri="{DE250136-89BD-433C-8126-D09CA5730AF9}">
        <x15:connection id="147b35d5-e34c-4ab1-960a-d8e73f7f7c6b"/>
      </ext>
    </extLst>
  </connection>
  <connection id="5" xr16:uid="{672102CF-DAE8-4B28-92ED-B54DF3C051AD}" keepAlive="1" name="ModelConnection_DatosExternos_1" description="Modelo de datos" type="5" refreshedVersion="8" minRefreshableVersion="5" saveData="1">
    <dbPr connection="Data Model Connection" command="penguins_siz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88BD0A0A-8C08-4778-B3FC-74CFE02EA0FD}" keepAlive="1" name="ModelConnection_DatosExternos_11" description="Modelo de datos" type="5" refreshedVersion="8" minRefreshableVersion="5" saveData="1">
    <dbPr connection="Data Model Connection" command="Sexo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3B2E5553-5B0F-483B-8164-CAA9D82BC3AB}" keepAlive="1" name="ModelConnection_DatosExternos_2" description="Modelo de datos" type="5" refreshedVersion="8" minRefreshableVersion="5" saveData="1">
    <dbPr connection="Data Model Connection" command="Especie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4C03254D-C1EE-4936-B6F8-4D60C70D5E72}" keepAlive="1" name="ModelConnection_DatosExternos_21" description="Modelo de datos" type="5" refreshedVersion="8" minRefreshableVersion="5" saveData="1">
    <dbPr connection="Data Model Connection" command="Islas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B487D8EB-F529-47ED-842D-508D8D84A32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<sst xmlns="http://schemas.openxmlformats.org/spreadsheetml/2006/main" count="1840" uniqueCount="42">
  <si>
    <t>species</t>
  </si>
  <si>
    <t>island</t>
  </si>
  <si>
    <t>body_mass_g</t>
  </si>
  <si>
    <t>sex</t>
  </si>
  <si>
    <t>Adelie</t>
  </si>
  <si>
    <t>Biscoe</t>
  </si>
  <si>
    <t>MALE</t>
  </si>
  <si>
    <t>Gentoo</t>
  </si>
  <si>
    <t>Torgersen</t>
  </si>
  <si>
    <t>Dream</t>
  </si>
  <si>
    <t>Chinstrap</t>
  </si>
  <si>
    <t>FEMALE</t>
  </si>
  <si>
    <t>Dimension</t>
  </si>
  <si>
    <t>Pequeño</t>
  </si>
  <si>
    <t>Grande</t>
  </si>
  <si>
    <t>longitud pico (mm)</t>
  </si>
  <si>
    <t>profundidad pico (mm)</t>
  </si>
  <si>
    <t>longitud aleta (mm)</t>
  </si>
  <si>
    <t>Etiquetas de fila</t>
  </si>
  <si>
    <t>Total general</t>
  </si>
  <si>
    <t>Peso medio</t>
  </si>
  <si>
    <t>Longitud Pico Media</t>
  </si>
  <si>
    <t>Profundidad Pico Media</t>
  </si>
  <si>
    <t>Aleta Media</t>
  </si>
  <si>
    <t>Etiquetas de columna</t>
  </si>
  <si>
    <t>Valores</t>
  </si>
  <si>
    <t>Longitud de la aleta</t>
  </si>
  <si>
    <t>(170-175]</t>
  </si>
  <si>
    <t>(175-180]</t>
  </si>
  <si>
    <t>(180-185]</t>
  </si>
  <si>
    <t>(185-190]</t>
  </si>
  <si>
    <t>(190-195]</t>
  </si>
  <si>
    <t>(195-200]</t>
  </si>
  <si>
    <t>(200-205]</t>
  </si>
  <si>
    <t>(205-210]</t>
  </si>
  <si>
    <t>(210-215]</t>
  </si>
  <si>
    <t>(215-220]</t>
  </si>
  <si>
    <t>(220-225]</t>
  </si>
  <si>
    <t>(225-231]</t>
  </si>
  <si>
    <t>Intervalos</t>
  </si>
  <si>
    <t>(230-235]</t>
  </si>
  <si>
    <t>Recuento de 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</si>
</sst>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12"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8F8F"/>
      <color rgb="FFF8CD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9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10" Type="http://schemas.openxmlformats.org/officeDocument/2006/relationships/pivotCacheDefinition" Target="pivotCache/pivotCacheDefinition2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10/relationships/person" Target="persons/person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Longitud de la aleta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Hoja1!$B$1:$M$1</c:f>
              <c:strCache>
                <c:ptCount val="12"/>
                <c:pt idx="0">
                  <c:v>(170-175]</c:v>
                </c:pt>
                <c:pt idx="1">
                  <c:v>(175-180]</c:v>
                </c:pt>
                <c:pt idx="2">
                  <c:v>(180-185]</c:v>
                </c:pt>
                <c:pt idx="3">
                  <c:v>(185-190]</c:v>
                </c:pt>
                <c:pt idx="4">
                  <c:v>(190-195]</c:v>
                </c:pt>
                <c:pt idx="5">
                  <c:v>(195-200]</c:v>
                </c:pt>
                <c:pt idx="6">
                  <c:v>(200-205]</c:v>
                </c:pt>
                <c:pt idx="7">
                  <c:v>(205-210]</c:v>
                </c:pt>
                <c:pt idx="8">
                  <c:v>(210-215]</c:v>
                </c:pt>
                <c:pt idx="9">
                  <c:v>(215-220]</c:v>
                </c:pt>
                <c:pt idx="10">
                  <c:v>(220-225]</c:v>
                </c:pt>
                <c:pt idx="11">
                  <c:v>(225-231]</c:v>
                </c:pt>
              </c:strCache>
            </c:strRef>
          </c:cat>
          <c:val>
            <c:numRef>
              <c:f>Hoja1!$B$2:$M$2</c:f>
              <c:numCache>
                <c:formatCode>General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28</c:v>
                </c:pt>
                <c:pt idx="3">
                  <c:v>58</c:v>
                </c:pt>
                <c:pt idx="4">
                  <c:v>57</c:v>
                </c:pt>
                <c:pt idx="5">
                  <c:v>38</c:v>
                </c:pt>
                <c:pt idx="6">
                  <c:v>18</c:v>
                </c:pt>
                <c:pt idx="7">
                  <c:v>30</c:v>
                </c:pt>
                <c:pt idx="8">
                  <c:v>33</c:v>
                </c:pt>
                <c:pt idx="9">
                  <c:v>32</c:v>
                </c:pt>
                <c:pt idx="10">
                  <c:v>20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D-4AA9-8071-1DB0D0C5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27949359"/>
        <c:axId val="579380735"/>
      </c:barChart>
      <c:catAx>
        <c:axId val="62794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380735"/>
        <c:crosses val="autoZero"/>
        <c:auto val="1"/>
        <c:lblAlgn val="ctr"/>
        <c:lblOffset val="100"/>
        <c:noMultiLvlLbl val="0"/>
      </c:catAx>
      <c:valAx>
        <c:axId val="5793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2794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Hoja1!$A$6</c:f>
              <c:strCache>
                <c:ptCount val="1"/>
                <c:pt idx="0">
                  <c:v>Longitud de la aleta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Hoja1!$B$5:$M$5</c:f>
              <c:strCache>
                <c:ptCount val="12"/>
                <c:pt idx="0">
                  <c:v>(170-175]</c:v>
                </c:pt>
                <c:pt idx="1">
                  <c:v>(175-180]</c:v>
                </c:pt>
                <c:pt idx="2">
                  <c:v>(180-185]</c:v>
                </c:pt>
                <c:pt idx="3">
                  <c:v>(185-190]</c:v>
                </c:pt>
                <c:pt idx="4">
                  <c:v>(190-195]</c:v>
                </c:pt>
                <c:pt idx="5">
                  <c:v>(195-200]</c:v>
                </c:pt>
                <c:pt idx="6">
                  <c:v>(200-205]</c:v>
                </c:pt>
                <c:pt idx="7">
                  <c:v>(205-210]</c:v>
                </c:pt>
                <c:pt idx="8">
                  <c:v>(210-215]</c:v>
                </c:pt>
                <c:pt idx="9">
                  <c:v>(215-220]</c:v>
                </c:pt>
                <c:pt idx="10">
                  <c:v>(220-225]</c:v>
                </c:pt>
                <c:pt idx="11">
                  <c:v>(225-231]</c:v>
                </c:pt>
              </c:strCache>
            </c:strRef>
          </c:cat>
          <c:val>
            <c:numRef>
              <c:f>Hoja1!$B$6:$M$6</c:f>
              <c:numCache>
                <c:formatCode>General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19</c:v>
                </c:pt>
                <c:pt idx="3">
                  <c:v>41</c:v>
                </c:pt>
                <c:pt idx="4">
                  <c:v>30</c:v>
                </c:pt>
                <c:pt idx="5">
                  <c:v>11</c:v>
                </c:pt>
                <c:pt idx="6">
                  <c:v>3</c:v>
                </c:pt>
                <c:pt idx="7">
                  <c:v>21</c:v>
                </c:pt>
                <c:pt idx="8">
                  <c:v>23</c:v>
                </c:pt>
                <c:pt idx="9">
                  <c:v>15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B8-4E5A-A355-DA2F9AB00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0558239"/>
        <c:axId val="579400895"/>
      </c:barChart>
      <c:catAx>
        <c:axId val="6605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400895"/>
        <c:crosses val="autoZero"/>
        <c:auto val="1"/>
        <c:lblAlgn val="ctr"/>
        <c:lblOffset val="100"/>
        <c:noMultiLvlLbl val="0"/>
      </c:catAx>
      <c:valAx>
        <c:axId val="5794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6055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[Pinguinos.xlsx]Tablas dinámicas!TablaDinámica1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Medidas por sexo (en mm)</a:t>
            </a:r>
          </a:p>
        </c:rich>
      </c:tx>
      <c:layout>
        <c:manualLayout>
          <c:xMode val="edge"/>
          <c:yMode val="edge"/>
          <c:x val="0.26163228537110828"/>
          <c:y val="0.16029688505917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303149606299225E-2"/>
          <c:y val="0.14249781277340332"/>
          <c:w val="0.7258729221347332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dinámicas'!$B$3:$B$4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dinámicas'!$A$5:$A$7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dinámicas'!$B$5:$B$7</c:f>
              <c:numCache>
                <c:formatCode>0.0</c:formatCode>
                <c:ptCount val="3"/>
                <c:pt idx="0">
                  <c:v>42.041618497109823</c:v>
                </c:pt>
                <c:pt idx="1">
                  <c:v>16.441040462427747</c:v>
                </c:pt>
                <c:pt idx="2">
                  <c:v>197.33526011560693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9-44B1-89D4-1B4FB99989E5}"/>
            </c:ext>
          </c:extLst>
        </c:ser>
        <c:ser>
          <c:idx val="1"/>
          <c:order val="1"/>
          <c:tx>
            <c:strRef>
              <c:f>'Tablas dinámicas'!$C$3:$C$4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dinámicas'!$A$5:$A$7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dinámicas'!$C$5:$C$7</c:f>
              <c:numCache>
                <c:formatCode>0.0</c:formatCode>
                <c:ptCount val="3"/>
                <c:pt idx="0">
                  <c:v>45.846745562130181</c:v>
                </c:pt>
                <c:pt idx="1">
                  <c:v>17.878106508875739</c:v>
                </c:pt>
                <c:pt idx="2">
                  <c:v>204.57988165680473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9-44B1-89D4-1B4FB9998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9140527"/>
        <c:axId val="1124920831"/>
      </c:barChart>
      <c:catAx>
        <c:axId val="75914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20831"/>
        <c:crosses val="autoZero"/>
        <c:auto val="1"/>
        <c:lblAlgn val="ctr"/>
        <c:lblOffset val="100"/>
        <c:noMultiLvlLbl val="0"/>
      </c:catAx>
      <c:valAx>
        <c:axId val="112492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914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[Pinguinos.xlsx]Tablas dinámicas!TablaDinámica4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</a:t>
            </a:r>
            <a:r>
              <a:rPr lang="es-ES" baseline="0"/>
              <a:t> medio por sexo (en 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dinámicas'!$B$10:$B$11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dinámicas'!$B$12</c:f>
              <c:numCache>
                <c:formatCode>0.0</c:formatCode>
                <c:ptCount val="1"/>
                <c:pt idx="0">
                  <c:v>3863.872832369942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5-4814-B212-08285B0E3573}"/>
            </c:ext>
          </c:extLst>
        </c:ser>
        <c:ser>
          <c:idx val="1"/>
          <c:order val="1"/>
          <c:tx>
            <c:strRef>
              <c:f>'Tablas dinámicas'!$C$10:$C$11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dinámicas'!$C$12</c:f>
              <c:numCache>
                <c:formatCode>0.0</c:formatCode>
                <c:ptCount val="1"/>
                <c:pt idx="0">
                  <c:v>4547.6331360946742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5-4814-B212-08285B0E35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9164655"/>
        <c:axId val="1124918911"/>
      </c:barChart>
      <c:catAx>
        <c:axId val="75916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18911"/>
        <c:crosses val="autoZero"/>
        <c:auto val="1"/>
        <c:lblAlgn val="ctr"/>
        <c:lblOffset val="100"/>
        <c:noMultiLvlLbl val="0"/>
      </c:catAx>
      <c:valAx>
        <c:axId val="11249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91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[Pinguinos.xlsx]Tablas dinámicas!TablaDinámica1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300">
                <a:solidFill>
                  <a:schemeClr val="bg1"/>
                </a:solidFill>
              </a:rPr>
              <a:t>Longitudes</a:t>
            </a:r>
            <a:r>
              <a:rPr lang="es-ES" sz="1300" baseline="0">
                <a:solidFill>
                  <a:schemeClr val="bg1"/>
                </a:solidFill>
              </a:rPr>
              <a:t> medias</a:t>
            </a:r>
            <a:r>
              <a:rPr lang="es-ES" sz="1300">
                <a:solidFill>
                  <a:schemeClr val="bg1"/>
                </a:solidFill>
              </a:rPr>
              <a:t> por sexo (en mm)</a:t>
            </a:r>
          </a:p>
        </c:rich>
      </c:tx>
      <c:layout>
        <c:manualLayout>
          <c:xMode val="edge"/>
          <c:yMode val="edge"/>
          <c:x val="0.11041532015455127"/>
          <c:y val="0.16040828775853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303149606299225E-2"/>
          <c:y val="0.14249781277340332"/>
          <c:w val="0.7258729221347332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dinámicas'!$B$3:$B$4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dinámicas'!$A$5:$A$7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dinámicas'!$B$5:$B$7</c:f>
              <c:numCache>
                <c:formatCode>0.0</c:formatCode>
                <c:ptCount val="3"/>
                <c:pt idx="0">
                  <c:v>42.041618497109823</c:v>
                </c:pt>
                <c:pt idx="1">
                  <c:v>16.441040462427747</c:v>
                </c:pt>
                <c:pt idx="2">
                  <c:v>197.33526011560693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6-49E7-A9DA-BE239C072B24}"/>
            </c:ext>
          </c:extLst>
        </c:ser>
        <c:ser>
          <c:idx val="1"/>
          <c:order val="1"/>
          <c:tx>
            <c:strRef>
              <c:f>'Tablas dinámicas'!$C$3:$C$4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dinámicas'!$A$5:$A$7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dinámicas'!$C$5:$C$7</c:f>
              <c:numCache>
                <c:formatCode>0.0</c:formatCode>
                <c:ptCount val="3"/>
                <c:pt idx="0">
                  <c:v>45.846745562130181</c:v>
                </c:pt>
                <c:pt idx="1">
                  <c:v>17.878106508875739</c:v>
                </c:pt>
                <c:pt idx="2">
                  <c:v>204.57988165680473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B6-49E7-A9DA-BE239C072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59140527"/>
        <c:axId val="1124920831"/>
      </c:barChart>
      <c:catAx>
        <c:axId val="75914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9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24920831"/>
        <c:crosses val="autoZero"/>
        <c:auto val="1"/>
        <c:lblAlgn val="ctr"/>
        <c:lblOffset val="100"/>
        <c:noMultiLvlLbl val="0"/>
      </c:catAx>
      <c:valAx>
        <c:axId val="112492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9140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[Pinguinos.xlsx]Tablas dinámicas!TablaDinámica4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bg1"/>
                </a:solidFill>
              </a:rPr>
              <a:t>Peso</a:t>
            </a:r>
            <a:r>
              <a:rPr lang="es-ES" baseline="0">
                <a:solidFill>
                  <a:schemeClr val="bg1"/>
                </a:solidFill>
              </a:rPr>
              <a:t> medio por sexo (en g)</a:t>
            </a:r>
          </a:p>
        </c:rich>
      </c:tx>
      <c:layout>
        <c:manualLayout>
          <c:xMode val="edge"/>
          <c:yMode val="edge"/>
          <c:x val="0.26139915225721039"/>
          <c:y val="0.115221324017774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5.358215705731856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dinámicas'!$B$10:$B$11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DCF-4189-A105-4C290B10A641}"/>
              </c:ext>
            </c:extLst>
          </c:dPt>
          <c:dLbls>
            <c:dLbl>
              <c:idx val="0"/>
              <c:layout>
                <c:manualLayout>
                  <c:x val="0"/>
                  <c:y val="-5.35821570573185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CF-4189-A105-4C290B10A6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dinámicas'!$B$12</c:f>
              <c:numCache>
                <c:formatCode>0.0</c:formatCode>
                <c:ptCount val="1"/>
                <c:pt idx="0">
                  <c:v>3863.872832369942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0-4D9B-83EF-C9F27A52315D}"/>
            </c:ext>
          </c:extLst>
        </c:ser>
        <c:ser>
          <c:idx val="1"/>
          <c:order val="1"/>
          <c:tx>
            <c:strRef>
              <c:f>'Tablas dinámicas'!$C$10:$C$11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dinámicas'!$A$12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dinámicas'!$C$12</c:f>
              <c:numCache>
                <c:formatCode>0.0</c:formatCode>
                <c:ptCount val="1"/>
                <c:pt idx="0">
                  <c:v>4547.6331360946742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0-4D9B-83EF-C9F27A5231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59164655"/>
        <c:axId val="1124918911"/>
      </c:barChart>
      <c:catAx>
        <c:axId val="759164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4918911"/>
        <c:crosses val="autoZero"/>
        <c:auto val="1"/>
        <c:lblAlgn val="ctr"/>
        <c:lblOffset val="100"/>
        <c:noMultiLvlLbl val="0"/>
      </c:catAx>
      <c:valAx>
        <c:axId val="112491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916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9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[Pinguinos.xlsx]Tablas dinámicas!TablaDinámica5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50000"/>
                  </a:schemeClr>
                </a:solidFill>
              </a:rPr>
              <a:t>Longitud de la aleta por</a:t>
            </a:r>
            <a:r>
              <a:rPr lang="en-US" sz="1600" b="1" baseline="0">
                <a:solidFill>
                  <a:schemeClr val="accent1">
                    <a:lumMod val="50000"/>
                  </a:schemeClr>
                </a:solidFill>
              </a:rPr>
              <a:t> especie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>
              <a:lumMod val="50000"/>
            </a:schemeClr>
          </a:solidFill>
          <a:ln>
            <a:solidFill>
              <a:schemeClr val="accent6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multiLvlStrRef>
              <c:f>'Tablas dinámicas'!$A$26:$A$53</c:f>
              <c:multiLvlStrCache>
                <c:ptCount val="24"/>
                <c:lvl>
                  <c:pt idx="0">
                    <c:v>(170-175]</c:v>
                  </c:pt>
                  <c:pt idx="1">
                    <c:v>(175-180]</c:v>
                  </c:pt>
                  <c:pt idx="2">
                    <c:v>(180-185]</c:v>
                  </c:pt>
                  <c:pt idx="3">
                    <c:v>(185-190]</c:v>
                  </c:pt>
                  <c:pt idx="4">
                    <c:v>(190-195]</c:v>
                  </c:pt>
                  <c:pt idx="5">
                    <c:v>(195-200]</c:v>
                  </c:pt>
                  <c:pt idx="6">
                    <c:v>(200-205]</c:v>
                  </c:pt>
                  <c:pt idx="7">
                    <c:v>(205-210]</c:v>
                  </c:pt>
                  <c:pt idx="8">
                    <c:v>(210-215]</c:v>
                  </c:pt>
                  <c:pt idx="9">
                    <c:v>(175-180]</c:v>
                  </c:pt>
                  <c:pt idx="10">
                    <c:v>(180-185]</c:v>
                  </c:pt>
                  <c:pt idx="11">
                    <c:v>(185-190]</c:v>
                  </c:pt>
                  <c:pt idx="12">
                    <c:v>(190-195]</c:v>
                  </c:pt>
                  <c:pt idx="13">
                    <c:v>(195-200]</c:v>
                  </c:pt>
                  <c:pt idx="14">
                    <c:v>(200-205]</c:v>
                  </c:pt>
                  <c:pt idx="15">
                    <c:v>(205-210]</c:v>
                  </c:pt>
                  <c:pt idx="16">
                    <c:v>(210-215]</c:v>
                  </c:pt>
                  <c:pt idx="17">
                    <c:v>(200-205]</c:v>
                  </c:pt>
                  <c:pt idx="18">
                    <c:v>(205-210]</c:v>
                  </c:pt>
                  <c:pt idx="19">
                    <c:v>(210-215]</c:v>
                  </c:pt>
                  <c:pt idx="20">
                    <c:v>(215-220]</c:v>
                  </c:pt>
                  <c:pt idx="21">
                    <c:v>(220-225]</c:v>
                  </c:pt>
                  <c:pt idx="22">
                    <c:v>(225-231]</c:v>
                  </c:pt>
                  <c:pt idx="23">
                    <c:v>(230-235]</c:v>
                  </c:pt>
                </c:lvl>
                <c:lvl>
                  <c:pt idx="0">
                    <c:v>Adelie</c:v>
                  </c:pt>
                  <c:pt idx="9">
                    <c:v>Chinstrap</c:v>
                  </c:pt>
                  <c:pt idx="17">
                    <c:v>Gentoo</c:v>
                  </c:pt>
                </c:lvl>
              </c:multiLvlStrCache>
            </c:multiLvlStrRef>
          </c:cat>
          <c:val>
            <c:numRef>
              <c:f>'Tablas dinámicas'!$B$26:$B$53</c:f>
              <c:numCache>
                <c:formatCode>General</c:formatCode>
                <c:ptCount val="24"/>
                <c:pt idx="0">
                  <c:v>2</c:v>
                </c:pt>
                <c:pt idx="1">
                  <c:v>5</c:v>
                </c:pt>
                <c:pt idx="2">
                  <c:v>22</c:v>
                </c:pt>
                <c:pt idx="3">
                  <c:v>36</c:v>
                </c:pt>
                <c:pt idx="4">
                  <c:v>47</c:v>
                </c:pt>
                <c:pt idx="5">
                  <c:v>30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9</c:v>
                </c:pt>
                <c:pt idx="12">
                  <c:v>15</c:v>
                </c:pt>
                <c:pt idx="13">
                  <c:v>21</c:v>
                </c:pt>
                <c:pt idx="14">
                  <c:v>12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13</c:v>
                </c:pt>
                <c:pt idx="19">
                  <c:v>30</c:v>
                </c:pt>
                <c:pt idx="20">
                  <c:v>36</c:v>
                </c:pt>
                <c:pt idx="21">
                  <c:v>24</c:v>
                </c:pt>
                <c:pt idx="22">
                  <c:v>11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75-45D1-A613-4D8BF2BDE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16111"/>
        <c:axId val="579387455"/>
      </c:barChart>
      <c:catAx>
        <c:axId val="2691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387455"/>
        <c:crosses val="autoZero"/>
        <c:auto val="1"/>
        <c:lblAlgn val="ctr"/>
        <c:lblOffset val="100"/>
        <c:noMultiLvlLbl val="0"/>
      </c:catAx>
      <c:valAx>
        <c:axId val="5793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691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18533212328465"/>
          <c:y val="0.13649533509239706"/>
          <c:w val="0.10498533442084546"/>
          <c:h val="0.810148580811418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Longitud de la aleta (general)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Hoja1!$A$2</c:f>
              <c:strCache>
                <c:ptCount val="1"/>
                <c:pt idx="0">
                  <c:v>Longitud de la aleta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Hoja1!$B$1:$M$1</c:f>
              <c:strCache>
                <c:ptCount val="12"/>
                <c:pt idx="0">
                  <c:v>(170-175]</c:v>
                </c:pt>
                <c:pt idx="1">
                  <c:v>(175-180]</c:v>
                </c:pt>
                <c:pt idx="2">
                  <c:v>(180-185]</c:v>
                </c:pt>
                <c:pt idx="3">
                  <c:v>(185-190]</c:v>
                </c:pt>
                <c:pt idx="4">
                  <c:v>(190-195]</c:v>
                </c:pt>
                <c:pt idx="5">
                  <c:v>(195-200]</c:v>
                </c:pt>
                <c:pt idx="6">
                  <c:v>(200-205]</c:v>
                </c:pt>
                <c:pt idx="7">
                  <c:v>(205-210]</c:v>
                </c:pt>
                <c:pt idx="8">
                  <c:v>(210-215]</c:v>
                </c:pt>
                <c:pt idx="9">
                  <c:v>(215-220]</c:v>
                </c:pt>
                <c:pt idx="10">
                  <c:v>(220-225]</c:v>
                </c:pt>
                <c:pt idx="11">
                  <c:v>(225-231]</c:v>
                </c:pt>
              </c:strCache>
            </c:strRef>
          </c:cat>
          <c:val>
            <c:numRef>
              <c:f>Hoja1!$B$2:$M$2</c:f>
              <c:numCache>
                <c:formatCode>General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28</c:v>
                </c:pt>
                <c:pt idx="3">
                  <c:v>58</c:v>
                </c:pt>
                <c:pt idx="4">
                  <c:v>57</c:v>
                </c:pt>
                <c:pt idx="5">
                  <c:v>38</c:v>
                </c:pt>
                <c:pt idx="6">
                  <c:v>18</c:v>
                </c:pt>
                <c:pt idx="7">
                  <c:v>30</c:v>
                </c:pt>
                <c:pt idx="8">
                  <c:v>33</c:v>
                </c:pt>
                <c:pt idx="9">
                  <c:v>32</c:v>
                </c:pt>
                <c:pt idx="10">
                  <c:v>20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6-4CF3-A1AB-54432993FA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27949359"/>
        <c:axId val="579380735"/>
      </c:barChart>
      <c:catAx>
        <c:axId val="62794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79380735"/>
        <c:crosses val="autoZero"/>
        <c:auto val="1"/>
        <c:lblAlgn val="ctr"/>
        <c:lblOffset val="100"/>
        <c:noMultiLvlLbl val="0"/>
      </c:catAx>
      <c:valAx>
        <c:axId val="5793807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794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[Pinguinos.xlsx]Tablas dinámicas!TablaDinámica2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chemeClr val="bg1"/>
                </a:solidFill>
              </a:rPr>
              <a:t>Logitudes</a:t>
            </a:r>
            <a:r>
              <a:rPr lang="es-ES" baseline="0">
                <a:solidFill>
                  <a:schemeClr val="bg1"/>
                </a:solidFill>
              </a:rPr>
              <a:t> media por especie (en mm)</a:t>
            </a:r>
            <a:endParaRPr lang="es-ES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940204975817367"/>
          <c:y val="0.150820786942014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dinámicas'!$I$3:$I$4</c:f>
              <c:strCache>
                <c:ptCount val="1"/>
                <c:pt idx="0">
                  <c:v>Adelie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dinámicas'!$H$5:$H$7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dinámicas'!$I$5:$I$7</c:f>
              <c:numCache>
                <c:formatCode>0.0</c:formatCode>
                <c:ptCount val="3"/>
                <c:pt idx="0">
                  <c:v>38.79139072847682</c:v>
                </c:pt>
                <c:pt idx="1">
                  <c:v>18.346357615894043</c:v>
                </c:pt>
                <c:pt idx="2">
                  <c:v>189.95364238410596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F-4839-A604-CB92140EB1CC}"/>
            </c:ext>
          </c:extLst>
        </c:ser>
        <c:ser>
          <c:idx val="1"/>
          <c:order val="1"/>
          <c:tx>
            <c:strRef>
              <c:f>'Tablas dinámicas'!$J$3:$J$4</c:f>
              <c:strCache>
                <c:ptCount val="1"/>
                <c:pt idx="0">
                  <c:v>Chinstrap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dinámicas'!$H$5:$H$7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dinámicas'!$J$5:$J$7</c:f>
              <c:numCache>
                <c:formatCode>0.0</c:formatCode>
                <c:ptCount val="3"/>
                <c:pt idx="0">
                  <c:v>48.83382352941176</c:v>
                </c:pt>
                <c:pt idx="1">
                  <c:v>18.420588235294115</c:v>
                </c:pt>
                <c:pt idx="2">
                  <c:v>195.8235294117647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C3-4085-99C5-FA0D5E72A2F9}"/>
            </c:ext>
          </c:extLst>
        </c:ser>
        <c:ser>
          <c:idx val="2"/>
          <c:order val="2"/>
          <c:tx>
            <c:strRef>
              <c:f>'Tablas dinámicas'!$K$3:$K$4</c:f>
              <c:strCache>
                <c:ptCount val="1"/>
                <c:pt idx="0">
                  <c:v>Gentoo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dinámicas'!$H$5:$H$7</c:f>
              <c:strCache>
                <c:ptCount val="3"/>
                <c:pt idx="0">
                  <c:v>Longitud Pico Media</c:v>
                </c:pt>
                <c:pt idx="1">
                  <c:v>Profundidad Pico Media</c:v>
                </c:pt>
                <c:pt idx="2">
                  <c:v>Aleta Media</c:v>
                </c:pt>
              </c:strCache>
            </c:strRef>
          </c:cat>
          <c:val>
            <c:numRef>
              <c:f>'Tablas dinámicas'!$K$5:$K$7</c:f>
              <c:numCache>
                <c:formatCode>0.0</c:formatCode>
                <c:ptCount val="3"/>
                <c:pt idx="0">
                  <c:v>47.50487804878049</c:v>
                </c:pt>
                <c:pt idx="1">
                  <c:v>14.982113821138212</c:v>
                </c:pt>
                <c:pt idx="2">
                  <c:v>217.1869918699187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C3-4085-99C5-FA0D5E72A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5110719"/>
        <c:axId val="1513887711"/>
      </c:barChart>
      <c:catAx>
        <c:axId val="171511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3887711"/>
        <c:crosses val="autoZero"/>
        <c:auto val="1"/>
        <c:lblAlgn val="ctr"/>
        <c:lblOffset val="100"/>
        <c:noMultiLvlLbl val="0"/>
      </c:catAx>
      <c:valAx>
        <c:axId val="151388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511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[Pinguinos.xlsx]Tablas dinámicas!TablaDinámica6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Peso</a:t>
            </a:r>
            <a:r>
              <a:rPr lang="es-ES" baseline="0"/>
              <a:t> medio por especie (en 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dinámicas'!$O$3:$O$4</c:f>
              <c:strCache>
                <c:ptCount val="1"/>
                <c:pt idx="0">
                  <c:v>Adelie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dinámicas'!$O$5</c:f>
              <c:numCache>
                <c:formatCode>0.0</c:formatCode>
                <c:ptCount val="1"/>
                <c:pt idx="0">
                  <c:v>3700.662251655629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FE-4E63-ADAF-6B56B9827771}"/>
            </c:ext>
          </c:extLst>
        </c:ser>
        <c:ser>
          <c:idx val="1"/>
          <c:order val="1"/>
          <c:tx>
            <c:strRef>
              <c:f>'Tablas dinámicas'!$P$3:$P$4</c:f>
              <c:strCache>
                <c:ptCount val="1"/>
                <c:pt idx="0">
                  <c:v>Chinstrap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dinámicas'!$P$5</c:f>
              <c:numCache>
                <c:formatCode>0.0</c:formatCode>
                <c:ptCount val="1"/>
                <c:pt idx="0">
                  <c:v>3733.0882352941176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FE-4E63-ADAF-6B56B9827771}"/>
            </c:ext>
          </c:extLst>
        </c:ser>
        <c:ser>
          <c:idx val="2"/>
          <c:order val="2"/>
          <c:tx>
            <c:strRef>
              <c:f>'Tablas dinámicas'!$Q$3:$Q$4</c:f>
              <c:strCache>
                <c:ptCount val="1"/>
                <c:pt idx="0">
                  <c:v>Gentoo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dinámicas'!$N$5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'Tablas dinámicas'!$Q$5</c:f>
              <c:numCache>
                <c:formatCode>0.0</c:formatCode>
                <c:ptCount val="1"/>
                <c:pt idx="0">
                  <c:v>5076.0162601626016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FE-4E63-ADAF-6B56B9827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727919"/>
        <c:axId val="1668697503"/>
      </c:barChart>
      <c:catAx>
        <c:axId val="1718727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8697503"/>
        <c:crosses val="autoZero"/>
        <c:auto val="1"/>
        <c:lblAlgn val="ctr"/>
        <c:lblOffset val="100"/>
        <c:noMultiLvlLbl val="0"/>
      </c:catAx>
      <c:valAx>
        <c:axId val="16686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872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10</xdr:row>
      <xdr:rowOff>72390</xdr:rowOff>
    </xdr:from>
    <xdr:to>
      <xdr:col>6</xdr:col>
      <xdr:colOff>716280</xdr:colOff>
      <xdr:row>25</xdr:row>
      <xdr:rowOff>72390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555FCD-5B2E-7E81-E494-9C6F57218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388560</xdr:colOff>
      <xdr:row>14</xdr:row>
      <xdr:rowOff>120060</xdr:rowOff>
    </xdr:from>
    <xdr:to>
      <xdr:col>4</xdr:col>
      <xdr:colOff>369480</xdr:colOff>
      <xdr:row>22</xdr:row>
      <xdr:rowOff>30420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08E58248-E337-6E5E-412B-F604D167A8C6}"/>
                </a:ext>
              </a:extLst>
            </xdr14:cNvPr>
            <xdr14:cNvContentPartPr/>
          </xdr14:nvContentPartPr>
          <xdr14:nvPr macro=""/>
          <xdr14:xfrm>
            <a:off x="1501080" y="2680380"/>
            <a:ext cx="2358360" cy="137340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08E58248-E337-6E5E-412B-F604D167A8C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94960" y="2674260"/>
              <a:ext cx="2370600" cy="138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30240</xdr:colOff>
      <xdr:row>16</xdr:row>
      <xdr:rowOff>151620</xdr:rowOff>
    </xdr:from>
    <xdr:to>
      <xdr:col>6</xdr:col>
      <xdr:colOff>753960</xdr:colOff>
      <xdr:row>22</xdr:row>
      <xdr:rowOff>23820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1CB20F01-5456-02D1-0764-3785D31D4C11}"/>
                </a:ext>
              </a:extLst>
            </xdr14:cNvPr>
            <xdr14:cNvContentPartPr/>
          </xdr14:nvContentPartPr>
          <xdr14:nvPr macro=""/>
          <xdr14:xfrm>
            <a:off x="3520200" y="3077700"/>
            <a:ext cx="2308680" cy="96948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1CB20F01-5456-02D1-0764-3785D31D4C1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514080" y="3071580"/>
              <a:ext cx="2320920" cy="981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617220</xdr:colOff>
      <xdr:row>10</xdr:row>
      <xdr:rowOff>72390</xdr:rowOff>
    </xdr:from>
    <xdr:to>
      <xdr:col>13</xdr:col>
      <xdr:colOff>434340</xdr:colOff>
      <xdr:row>25</xdr:row>
      <xdr:rowOff>72390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48F22D3D-8D0B-E995-2935-6957DE03B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22860</xdr:rowOff>
    </xdr:from>
    <xdr:to>
      <xdr:col>8</xdr:col>
      <xdr:colOff>15240</xdr:colOff>
      <xdr:row>18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2337A1-7835-4056-BFE4-B60EA39AF8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15</xdr:col>
      <xdr:colOff>53340</xdr:colOff>
      <xdr:row>18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23636ED-D302-4E59-AE68-ABFD060B5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2</xdr:col>
      <xdr:colOff>243840</xdr:colOff>
      <xdr:row>35</xdr:row>
      <xdr:rowOff>20955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pecies">
              <a:extLst>
                <a:ext uri="{FF2B5EF4-FFF2-40B4-BE49-F238E27FC236}">
                  <a16:creationId xmlns:a16="http://schemas.microsoft.com/office/drawing/2014/main" id="{B9322708-6918-4F30-B879-3EDE245FBA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ci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855904"/>
              <a:ext cx="1822924" cy="25915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681620</xdr:colOff>
      <xdr:row>1</xdr:row>
      <xdr:rowOff>57057</xdr:rowOff>
    </xdr:from>
    <xdr:to>
      <xdr:col>13</xdr:col>
      <xdr:colOff>135008</xdr:colOff>
      <xdr:row>6</xdr:row>
      <xdr:rowOff>127126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9F71FB51-A657-7139-F935-027F96523035}"/>
            </a:ext>
          </a:extLst>
        </xdr:cNvPr>
        <xdr:cNvSpPr/>
      </xdr:nvSpPr>
      <xdr:spPr>
        <a:xfrm>
          <a:off x="3065591" y="242114"/>
          <a:ext cx="7399960" cy="99535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s-ES" sz="2100" b="0" cap="none" spc="0">
              <a:ln w="0">
                <a:solidFill>
                  <a:schemeClr val="accent1"/>
                </a:solidFill>
              </a:ln>
              <a:solidFill>
                <a:schemeClr val="tx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ANÁLISIS DE MEDIDAS ANATÓMICAS DE PINGUINOS ANTÁRTICOS</a:t>
          </a:r>
        </a:p>
      </xdr:txBody>
    </xdr:sp>
    <xdr:clientData/>
  </xdr:twoCellAnchor>
  <xdr:oneCellAnchor>
    <xdr:from>
      <xdr:col>14</xdr:col>
      <xdr:colOff>753241</xdr:colOff>
      <xdr:row>7</xdr:row>
      <xdr:rowOff>26276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426BB4A-A72A-7D74-5073-B481FD97EBF3}"/>
            </a:ext>
          </a:extLst>
        </xdr:cNvPr>
        <xdr:cNvSpPr txBox="1"/>
      </xdr:nvSpPr>
      <xdr:spPr>
        <a:xfrm>
          <a:off x="11789103" y="131379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>
    <xdr:from>
      <xdr:col>6</xdr:col>
      <xdr:colOff>578394</xdr:colOff>
      <xdr:row>8</xdr:row>
      <xdr:rowOff>3028</xdr:rowOff>
    </xdr:from>
    <xdr:to>
      <xdr:col>9</xdr:col>
      <xdr:colOff>692256</xdr:colOff>
      <xdr:row>12</xdr:row>
      <xdr:rowOff>153050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80416397-9DED-CABC-CD92-47C30B80D5E6}"/>
            </a:ext>
          </a:extLst>
        </xdr:cNvPr>
        <xdr:cNvSpPr/>
      </xdr:nvSpPr>
      <xdr:spPr>
        <a:xfrm>
          <a:off x="5346337" y="1483485"/>
          <a:ext cx="2497833" cy="8902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>
              <a:solidFill>
                <a:schemeClr val="tx1"/>
              </a:solidFill>
            </a:rPr>
            <a:t>2.</a:t>
          </a:r>
          <a:r>
            <a:rPr lang="es-E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ES" sz="1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compara el peso, tamaño de la aleta y del pico según la especie.</a:t>
          </a:r>
          <a:endParaRPr lang="es-ES" sz="14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791279</xdr:colOff>
      <xdr:row>7</xdr:row>
      <xdr:rowOff>172794</xdr:rowOff>
    </xdr:from>
    <xdr:to>
      <xdr:col>14</xdr:col>
      <xdr:colOff>161109</xdr:colOff>
      <xdr:row>12</xdr:row>
      <xdr:rowOff>137759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9AA3124C-A0B7-4D51-B3EA-2E669C814873}"/>
            </a:ext>
          </a:extLst>
        </xdr:cNvPr>
        <xdr:cNvSpPr/>
      </xdr:nvSpPr>
      <xdr:spPr>
        <a:xfrm>
          <a:off x="8737850" y="1468194"/>
          <a:ext cx="2548459" cy="8902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>
              <a:solidFill>
                <a:schemeClr val="tx1"/>
              </a:solidFill>
            </a:rPr>
            <a:t>3.</a:t>
          </a:r>
          <a:r>
            <a:rPr lang="es-ES" sz="1400" baseline="0">
              <a:solidFill>
                <a:schemeClr val="tx1"/>
              </a:solidFill>
            </a:rPr>
            <a:t> Análisis sobre la distribución que sigue la medida de la aleta de los pinguinos</a:t>
          </a:r>
          <a:endParaRPr lang="es-ES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233605</xdr:colOff>
      <xdr:row>7</xdr:row>
      <xdr:rowOff>164036</xdr:rowOff>
    </xdr:from>
    <xdr:to>
      <xdr:col>5</xdr:col>
      <xdr:colOff>382502</xdr:colOff>
      <xdr:row>12</xdr:row>
      <xdr:rowOff>129001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6375F690-087A-4040-BB6B-0CACE1B87E02}"/>
            </a:ext>
          </a:extLst>
        </xdr:cNvPr>
        <xdr:cNvSpPr/>
      </xdr:nvSpPr>
      <xdr:spPr>
        <a:xfrm>
          <a:off x="1822919" y="1459436"/>
          <a:ext cx="2532869" cy="89025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400">
              <a:solidFill>
                <a:schemeClr val="tx1"/>
              </a:solidFill>
            </a:rPr>
            <a:t>1. Se</a:t>
          </a:r>
          <a:r>
            <a:rPr lang="es-ES" sz="1400" baseline="0">
              <a:solidFill>
                <a:schemeClr val="tx1"/>
              </a:solidFill>
            </a:rPr>
            <a:t> compara el peso, tamaño de la aleta y del pico en pinguinos machos y hembras.</a:t>
          </a:r>
          <a:endParaRPr lang="es-ES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552493</xdr:colOff>
      <xdr:row>14</xdr:row>
      <xdr:rowOff>48246</xdr:rowOff>
    </xdr:from>
    <xdr:to>
      <xdr:col>9</xdr:col>
      <xdr:colOff>132079</xdr:colOff>
      <xdr:row>26</xdr:row>
      <xdr:rowOff>32657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35A86E-E3C5-43A3-A7C6-F5BD5A00F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487079</xdr:colOff>
      <xdr:row>14</xdr:row>
      <xdr:rowOff>30880</xdr:rowOff>
    </xdr:from>
    <xdr:to>
      <xdr:col>15</xdr:col>
      <xdr:colOff>548017</xdr:colOff>
      <xdr:row>26</xdr:row>
      <xdr:rowOff>54428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36B6ED8-B8A9-4FD0-B985-CDA925A15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27852</xdr:colOff>
      <xdr:row>21</xdr:row>
      <xdr:rowOff>68755</xdr:rowOff>
    </xdr:from>
    <xdr:to>
      <xdr:col>2</xdr:col>
      <xdr:colOff>274224</xdr:colOff>
      <xdr:row>28</xdr:row>
      <xdr:rowOff>129014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pecies 1">
              <a:extLst>
                <a:ext uri="{FF2B5EF4-FFF2-40B4-BE49-F238E27FC236}">
                  <a16:creationId xmlns:a16="http://schemas.microsoft.com/office/drawing/2014/main" id="{5D1F3B78-4217-409A-9EA5-5C63C1D9C9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ecie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52" y="3909235"/>
              <a:ext cx="1831332" cy="1340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204047</xdr:colOff>
      <xdr:row>34</xdr:row>
      <xdr:rowOff>3970</xdr:rowOff>
    </xdr:from>
    <xdr:to>
      <xdr:col>16</xdr:col>
      <xdr:colOff>275167</xdr:colOff>
      <xdr:row>48</xdr:row>
      <xdr:rowOff>37099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14B0614-8E6B-4991-B0ED-0E7534A7D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480522</xdr:colOff>
      <xdr:row>33</xdr:row>
      <xdr:rowOff>162790</xdr:rowOff>
    </xdr:from>
    <xdr:to>
      <xdr:col>7</xdr:col>
      <xdr:colOff>584430</xdr:colOff>
      <xdr:row>47</xdr:row>
      <xdr:rowOff>162790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8D4084-8B03-4D5E-A8B4-23AA8394A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396240</xdr:colOff>
      <xdr:row>26</xdr:row>
      <xdr:rowOff>132805</xdr:rowOff>
    </xdr:from>
    <xdr:to>
      <xdr:col>15</xdr:col>
      <xdr:colOff>701040</xdr:colOff>
      <xdr:row>30</xdr:row>
      <xdr:rowOff>134499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2826F63C-19A6-C97B-31EC-85AB7DE28416}"/>
            </a:ext>
          </a:extLst>
        </xdr:cNvPr>
        <xdr:cNvSpPr/>
      </xdr:nvSpPr>
      <xdr:spPr>
        <a:xfrm>
          <a:off x="1981200" y="4887685"/>
          <a:ext cx="10607040" cy="733214"/>
        </a:xfrm>
        <a:prstGeom prst="roundRect">
          <a:avLst/>
        </a:prstGeom>
        <a:solidFill>
          <a:srgbClr val="FF8F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u="sng">
              <a:solidFill>
                <a:schemeClr val="tx1"/>
              </a:solidFill>
            </a:rPr>
            <a:t>Conclusión</a:t>
          </a:r>
          <a:r>
            <a:rPr lang="es-ES" sz="1600" u="sng" baseline="0">
              <a:solidFill>
                <a:schemeClr val="tx1"/>
              </a:solidFill>
            </a:rPr>
            <a:t> 1.</a:t>
          </a:r>
          <a:r>
            <a:rPr lang="es-ES" sz="1600" u="none" baseline="0">
              <a:solidFill>
                <a:schemeClr val="tx1"/>
              </a:solidFill>
            </a:rPr>
            <a:t> </a:t>
          </a:r>
          <a:r>
            <a:rPr lang="es-ES" sz="1400" u="none" baseline="0">
              <a:solidFill>
                <a:schemeClr val="tx1"/>
              </a:solidFill>
            </a:rPr>
            <a:t>En cuanto a las medidas de longitud y profundidad del pico y la longitud de la aleta no se encuentran diferencias significativas en pinguinos machos y hembras. Sin embargo, el peso de los machos si es notablemente superior en los machos que en las hembras.</a:t>
          </a:r>
        </a:p>
      </xdr:txBody>
    </xdr:sp>
    <xdr:clientData/>
  </xdr:twoCellAnchor>
  <xdr:twoCellAnchor>
    <xdr:from>
      <xdr:col>2</xdr:col>
      <xdr:colOff>332740</xdr:colOff>
      <xdr:row>48</xdr:row>
      <xdr:rowOff>157480</xdr:rowOff>
    </xdr:from>
    <xdr:to>
      <xdr:col>16</xdr:col>
      <xdr:colOff>495300</xdr:colOff>
      <xdr:row>58</xdr:row>
      <xdr:rowOff>40640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F2A38CC8-A880-491F-9549-E7C7403398D8}"/>
            </a:ext>
          </a:extLst>
        </xdr:cNvPr>
        <xdr:cNvSpPr/>
      </xdr:nvSpPr>
      <xdr:spPr>
        <a:xfrm>
          <a:off x="1907540" y="8691880"/>
          <a:ext cx="11186160" cy="1661160"/>
        </a:xfrm>
        <a:prstGeom prst="roundRect">
          <a:avLst/>
        </a:prstGeom>
        <a:solidFill>
          <a:srgbClr val="FF8F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600" u="sng" baseline="0">
              <a:solidFill>
                <a:schemeClr val="tx1"/>
              </a:solidFill>
            </a:rPr>
            <a:t>Conclusión 3. </a:t>
          </a:r>
          <a:r>
            <a:rPr lang="es-ES" sz="1400" u="none" baseline="0">
              <a:solidFill>
                <a:schemeClr val="tx1"/>
              </a:solidFill>
            </a:rPr>
            <a:t>Al estudiar la longitud de aleta de todos los pinguinos de nuestra base de datos se observa una doble campana de Gauss en la gráfica.</a:t>
          </a:r>
        </a:p>
        <a:p>
          <a:pPr algn="l"/>
          <a:endParaRPr lang="es-ES" sz="1400" u="none" baseline="0">
            <a:solidFill>
              <a:schemeClr val="tx1"/>
            </a:solidFill>
          </a:endParaRPr>
        </a:p>
        <a:p>
          <a:pPr algn="l"/>
          <a:r>
            <a:rPr lang="es-ES" sz="1400" u="none" baseline="0">
              <a:solidFill>
                <a:schemeClr val="tx1"/>
              </a:solidFill>
            </a:rPr>
            <a:t>¿A qué se debe esto?</a:t>
          </a:r>
        </a:p>
        <a:p>
          <a:pPr algn="l"/>
          <a:endParaRPr lang="es-ES" sz="1400" u="none" baseline="0">
            <a:solidFill>
              <a:schemeClr val="tx1"/>
            </a:solidFill>
          </a:endParaRPr>
        </a:p>
        <a:p>
          <a:pPr algn="l"/>
          <a:r>
            <a:rPr lang="es-ES" sz="1400" u="none" baseline="0">
              <a:solidFill>
                <a:schemeClr val="tx1"/>
              </a:solidFill>
            </a:rPr>
            <a:t>Esto se debe a las diferencias significativas correspondientes a los datos de cada especie. Mirando la gráfica de la derecha, se cocluye que, para cada especie, la longitud de la aleta se distribuye según una Ley Normal.</a:t>
          </a:r>
        </a:p>
      </xdr:txBody>
    </xdr:sp>
    <xdr:clientData/>
  </xdr:twoCellAnchor>
  <xdr:twoCellAnchor>
    <xdr:from>
      <xdr:col>16</xdr:col>
      <xdr:colOff>543560</xdr:colOff>
      <xdr:row>26</xdr:row>
      <xdr:rowOff>101600</xdr:rowOff>
    </xdr:from>
    <xdr:to>
      <xdr:col>30</xdr:col>
      <xdr:colOff>259080</xdr:colOff>
      <xdr:row>32</xdr:row>
      <xdr:rowOff>169174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68188D4A-ECE8-4342-9F7F-E4C08297F2E5}"/>
            </a:ext>
          </a:extLst>
        </xdr:cNvPr>
        <xdr:cNvSpPr/>
      </xdr:nvSpPr>
      <xdr:spPr>
        <a:xfrm>
          <a:off x="13141960" y="4724400"/>
          <a:ext cx="10739120" cy="1134374"/>
        </a:xfrm>
        <a:prstGeom prst="roundRect">
          <a:avLst/>
        </a:prstGeom>
        <a:solidFill>
          <a:srgbClr val="FF8F8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600" u="sng" baseline="0">
              <a:solidFill>
                <a:schemeClr val="tx1"/>
              </a:solidFill>
            </a:rPr>
            <a:t>Conclusión 2.</a:t>
          </a:r>
          <a:r>
            <a:rPr lang="es-ES" sz="1600" u="none" baseline="0">
              <a:solidFill>
                <a:schemeClr val="tx1"/>
              </a:solidFill>
            </a:rPr>
            <a:t> </a:t>
          </a:r>
          <a:r>
            <a:rPr lang="es-ES" sz="1400" u="none" baseline="0">
              <a:solidFill>
                <a:schemeClr val="tx1"/>
              </a:solidFill>
            </a:rPr>
            <a:t>La longitud del pico es considerablemente menor en la especie Adelie  y similar en las otras dos especies. La profundidad del pico es similar en las tres especies siendo ligeramente menor en la especie Gentoo. </a:t>
          </a:r>
          <a:r>
            <a:rPr lang="es-E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 longitud de la aleta aumenta de Adelie a Chinstrap y alcanza su máximo en Gentoo, que presenta la mayor diferencia respecto a las otras dos especies. Y el peso es similar entre las especies Adelie</a:t>
          </a:r>
          <a:r>
            <a:rPr lang="es-ES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y Chinstrap y bastante superior en la especie de pinguinos Gentoo.</a:t>
          </a:r>
          <a:endParaRPr lang="es-ES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s-ES" sz="1600" u="sng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596900</xdr:colOff>
      <xdr:row>13</xdr:row>
      <xdr:rowOff>25400</xdr:rowOff>
    </xdr:from>
    <xdr:to>
      <xdr:col>23</xdr:col>
      <xdr:colOff>520700</xdr:colOff>
      <xdr:row>26</xdr:row>
      <xdr:rowOff>29028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4BED860-6F06-470B-A416-BDC33643A1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200660</xdr:colOff>
      <xdr:row>13</xdr:row>
      <xdr:rowOff>25400</xdr:rowOff>
    </xdr:from>
    <xdr:to>
      <xdr:col>30</xdr:col>
      <xdr:colOff>17780</xdr:colOff>
      <xdr:row>26</xdr:row>
      <xdr:rowOff>15240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D51F604-A354-496B-A0A3-14949B533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7:41:11.0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3815 24575,'29'-2'0,"0"-1"0,0-2 0,0-1 0,0-1 0,44-17 0,53-33 0,-116 52 0,0 0 0,0-1 0,0 1 0,-1-2 0,0 0 0,9-8 0,27-18 0,36-8 0,-62 33 0,-1-1 0,1 0 0,-1-2 0,27-20 0,56-42 0,-33 26 0,-28 15 0,46-48 0,-72 66 0,45-35 0,-43 37 0,0-1 0,-1-1 0,18-20 0,99-129 0,-81 105 0,-37 45 0,-1-1 0,19-27 0,-15 17 0,-10 14 0,-1 0 0,0 0 0,0 0 0,-1-1 0,8-19 0,0-7 0,2 2 0,2 0 0,1 1 0,1 1 0,25-32 0,-13 19 0,37-75 0,-46 72 0,32-63 0,-11 8 0,66-93 0,-22 47 0,-22 43 0,-60 99 0,138-280 0,-64 131 0,-11 27 0,-52 80 0,-13 39 0,0 1 0,1-1 0,6-12 0,13-25 0,-14 27 0,0 2 0,2-1 0,20-28 0,-24 41 0,26-34 0,-1-1 0,-2-2 0,29-55 0,-51 84 0,1 0 0,16-21 0,-15 23 0,0-1 0,13-26 0,-5 6 0,1 1 0,42-55 0,-3 31 0,-43 39 0,1 2 0,1 0 0,1 0 0,0 2 0,29-18 0,-3 7 0,68-29 0,-101 50 0,-1 0 0,1 2 0,0-1 0,0 1 0,0 1 0,12-1 0,72 4 0,-35 0 0,448-2 0,-493 1 0,0 1 0,1 0 0,-1 1 0,0 0 0,-1 2 0,1-1 0,-1 2 0,23 11 0,56 31 0,-40-22 0,-40-21 0,0 1 0,-1 0 0,0 1 0,20 15 0,-22-14 0,1-1 0,0-1 0,0 1 0,0-2 0,17 7 0,29 15 0,42 48 0,-88-67 0,0 0 0,-1 1 0,17 19 0,10 8 0,6-3 0,-31-24 0,0-1 0,-1 1 0,0 1 0,-1 0 0,15 18 0,41 52 0,-44-56 0,-1 2 0,29 46 0,20 43 0,30 56 0,-97-165 0,3 6 0,0 1 0,0-1 0,-1 1 0,4 21 0,-3-14 0,0-1 0,2 0 0,15 31 0,-6-14 0,9 22 0,33 118 0,34 102 0,-76-234 0,40 73 0,-51-104 0,0 1 0,-1-1 0,0 1 0,3 20 0,6 16 0,7 21 0,-14-45 0,0-1 0,22 47 0,-3-6 0,2 4 0,-16-44 0,-1-1 0,8 32 0,-11-32 0,1 1 0,19 36 0,35 71 0,-62-131 0,5 9 0,0 0 0,-1 0 0,-1 0 0,5 16 0,-6-18 0,0-1 0,1 0 0,0 1 0,0-1 0,11 13 0,9 20 0,104 259 0,-103-239 0,-18-45 0,1-1 0,0 0 0,1 0 0,1-1 0,0 0 0,1 0 0,0-1 0,23 19 0,14 16 0,-37-36 0,1 1 0,1-1 0,0-1 0,25 17 0,5-1 0,-33-20 0,1 1 0,-1-2 0,1 1 0,0-2 0,1 1 0,-1-2 0,1 1 0,0-2 0,0 0 0,1 0 0,23 2 0,12-7-10,-35 0-216,0 2 0,0-1 0,0 2 1,0 0-1,18 3 0,-17 1-6600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21T07:41:16.5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2605 24575,'219'-135'0,"-142"87"0,141-92 0,-187 119 0,-17 13 0,-1 0 0,-1-1 0,0 0 0,0-1 0,-1 0 0,0-1 0,0 0 0,-1-1 0,9-15 0,1-2 0,1 1 0,2 0 0,0 2 0,38-33 0,17-19 0,-8 9 0,-44 46 0,0-2 0,24-33 0,-11 12 0,51-50 0,-46 52 0,41-52 0,39-54 0,-73 93 0,-3-3 0,70-114 0,-1-25 0,-95 163 0,2 2 0,29-34 0,19-26 0,-30 37 0,82-84 0,-47 58 0,8-15 0,-63 76 0,0 1 0,1 1 0,39-25 0,-32 21 0,-26 20 0,-1 1 0,1-1 0,0 1 0,-1 0 0,2 1 0,-1-1 0,0 1 0,0 0 0,1 0 0,-1 0 0,1 0 0,5-1 0,10 0 0,24-4 0,83-5 0,-53 11 0,103 4 0,-162-1 0,0 1 0,-1 1 0,1 0 0,-1 0 0,25 13 0,6 2 0,-36-17 0,0 1 0,0-2 0,0 1 0,0-1 0,10 0 0,-12-2 0,0 2 0,0-1 0,0 1 0,0 0 0,0 0 0,-1 1 0,1 0 0,0 0 0,11 6 0,-6-2 0,1 0 0,-1-1 0,2 0 0,-1-1 0,0-1 0,17 3 0,29 8 0,-52-12 0,20 6 0,0 0 0,-1 2 0,0 1 0,25 16 0,-38-21 0,0 1 0,26 8 0,22 10 0,-28-8 0,56 21 0,-54-25 0,50 27 0,102 86 0,-157-102 0,28 30 0,-13-11 0,-21-19 0,-1 1 0,23 34 0,-21-26 0,73 98 0,58 87 0,-34-41 0,209 274 0,-306-418 0,92 139 0,-3 1 0,-72-116 0,66 71 0,-86-104 0,-5-5 0,2 0 0,0-1 0,1-1 0,1-1 0,1-1 0,0-1 0,1-1 0,34 16 0,61 33 0,-105-55 0,1 0 0,0-1 0,0 0 0,21 5 0,-18-6 0,0 1 0,17 8 0,-10-2 0,19 10 0,46 17 0,-73-34 0,1 0 0,-1 0 0,1-2 0,0 0 0,1-1 0,23 0 0,43-4-1365,-66 1-5461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727946180552" backgroundQuery="1" createdVersion="8" refreshedVersion="8" minRefreshableVersion="3" recordCount="0" supportSubquery="1" supportAdvancedDrill="1" xr:uid="{7B0BF8DD-FD3B-4A28-8141-1FD0794C535C}">
  <cacheSource type="external" connectionId="9"/>
  <cacheFields count="2">
    <cacheField name="[Especies].[species].[species]" caption="species" numFmtId="0" level="1">
      <sharedItems count="3">
        <s v="Adelie"/>
        <s v="Chinstrap"/>
        <s v="Gentoo"/>
      </sharedItems>
    </cacheField>
    <cacheField name="[Measures].[Peso medio]" caption="Peso medio" numFmtId="0" hierarchy="12" level="32767"/>
  </cacheFields>
  <cacheHierarchies count="23">
    <cacheHierarchy uniqueName="[Especies].[species]" caption="species" attribute="1" defaultMemberUniqueName="[Especies].[species].[All]" allUniqueName="[Especies].[species].[All]" dimensionUniqueName="[Especies]" displayFolder="" count="2" memberValueDatatype="130" unbalanced="0">
      <fieldsUsage count="2">
        <fieldUsage x="-1"/>
        <fieldUsage x="0"/>
      </fieldsUsage>
    </cacheHierarchy>
    <cacheHierarchy uniqueName="[Islas].[island]" caption="island" attribute="1" defaultMemberUniqueName="[Islas].[island].[All]" allUniqueName="[Islas].[island].[All]" dimensionUniqueName="[Islas]" displayFolder="" count="0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0" memberValueDatatype="130" unbalanced="0"/>
    <cacheHierarchy uniqueName="[penguins_size].[island]" caption="island" attribute="1" defaultMemberUniqueName="[penguins_size].[island].[All]" allUniqueName="[penguins_size].[island].[All]" dimensionUniqueName="[penguins_size]" displayFolder="" count="0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0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0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0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0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0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0" memberValueDatatype="130" unbalanced="0"/>
    <cacheHierarchy uniqueName="[penguins_size].[Dimension]" caption="Dimension" attribute="1" defaultMemberUniqueName="[penguins_size].[Dimension].[All]" allUniqueName="[penguins_size].[Dimension].[All]" dimensionUniqueName="[penguins_size]" displayFolder="" count="0" memberValueDatatype="130" unbalanced="0"/>
    <cacheHierarchy uniqueName="[Sexo].[sex]" caption="sex" attribute="1" defaultMemberUniqueName="[Sexo].[sex].[All]" allUniqueName="[Sexo].[sex].[All]" dimensionUniqueName="[Sexo]" displayFolder="" count="0" memberValueDatatype="130" unbalanced="0"/>
    <cacheHierarchy uniqueName="[Measures].[Peso medio]" caption="Peso medio" measure="1" displayFolder="" measureGroup="penguins_size" count="0" oneField="1">
      <fieldsUsage count="1">
        <fieldUsage x="1"/>
      </fieldsUsage>
    </cacheHierarchy>
    <cacheHierarchy uniqueName="[Measures].[Longitud Pico Media]" caption="Longitud Pico Media" measure="1" displayFolder="" measureGroup="penguins_size" count="0"/>
    <cacheHierarchy uniqueName="[Measures].[Profundidad Pico Media]" caption="Profundidad Pico Media" measure="1" displayFolder="" measureGroup="penguins_size" count="0"/>
    <cacheHierarchy uniqueName="[Measures].[Aleta Media]" caption="Aleta Media" measure="1" displayFolder="" measureGroup="penguins_size" count="0"/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  <cacheHierarchy uniqueName="[Measures].[Recuento de species]" caption="Recuento de species" measure="1" displayFolder="" measureGroup="penguins_siz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Especies" uniqueName="[Especies]" caption="Especies"/>
    <dimension name="Islas" uniqueName="[Islas]" caption="Islas"/>
    <dimension measure="1" name="Measures" uniqueName="[Measures]" caption="Measures"/>
    <dimension name="penguins_size" uniqueName="[penguins_size]" caption="penguins_size"/>
    <dimension name="Sexo" uniqueName="[Sexo]" caption="Sexo"/>
  </dimensions>
  <measureGroups count="4">
    <measureGroup name="Especies" caption="Especies"/>
    <measureGroup name="Islas" caption="Islas"/>
    <measureGroup name="penguins_size" caption="penguins_size"/>
    <measureGroup name="Sexo" caption="Sexo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806406018521" backgroundQuery="1" createdVersion="8" refreshedVersion="8" minRefreshableVersion="3" recordCount="0" supportSubquery="1" supportAdvancedDrill="1" xr:uid="{BC8EB50B-141B-43CD-A036-56624C658582}">
  <cacheSource type="external" connectionId="9"/>
  <cacheFields count="6">
    <cacheField name="[Sexo].[sex].[sex]" caption="sex" numFmtId="0" hierarchy="11" level="1">
      <sharedItems count="2">
        <s v="FEMALE"/>
        <s v="MALE"/>
      </sharedItems>
    </cacheField>
    <cacheField name="[Measures].[Longitud Pico Media]" caption="Longitud Pico Media" numFmtId="0" hierarchy="13" level="32767"/>
    <cacheField name="[Measures].[Profundidad Pico Media]" caption="Profundidad Pico Media" numFmtId="0" hierarchy="14" level="32767"/>
    <cacheField name="[Measures].[Aleta Media]" caption="Aleta Media" numFmtId="0" hierarchy="15" level="32767"/>
    <cacheField name="[penguins_size].[Dimension].[Dimension]" caption="Dimension" numFmtId="0" hierarchy="10" level="1">
      <sharedItems containsSemiMixedTypes="0" containsNonDate="0" containsString="0"/>
    </cacheField>
    <cacheField name="[penguins_size].[species].[species]" caption="species" numFmtId="0" hierarchy="2" level="1">
      <sharedItems containsSemiMixedTypes="0" containsNonDate="0" containsString="0"/>
    </cacheField>
  </cacheFields>
  <cacheHierarchies count="23">
    <cacheHierarchy uniqueName="[Especies].[species]" caption="species" attribute="1" defaultMemberUniqueName="[Especies].[species].[All]" allUniqueName="[Especies].[species].[All]" dimensionUniqueName="[Especies]" displayFolder="" count="0" memberValueDatatype="130" unbalanced="0"/>
    <cacheHierarchy uniqueName="[Islas].[island]" caption="island" attribute="1" defaultMemberUniqueName="[Islas].[island].[All]" allUniqueName="[Islas].[island].[All]" dimensionUniqueName="[Islas]" displayFolder="" count="0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2" memberValueDatatype="130" unbalanced="0">
      <fieldsUsage count="2">
        <fieldUsage x="-1"/>
        <fieldUsage x="5"/>
      </fieldsUsage>
    </cacheHierarchy>
    <cacheHierarchy uniqueName="[penguins_size].[island]" caption="island" attribute="1" defaultMemberUniqueName="[penguins_size].[island].[All]" allUniqueName="[penguins_size].[island].[All]" dimensionUniqueName="[penguins_size]" displayFolder="" count="0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0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0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0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0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0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0" memberValueDatatype="130" unbalanced="0"/>
    <cacheHierarchy uniqueName="[penguins_size].[Dimension]" caption="Dimension" attribute="1" defaultMemberUniqueName="[penguins_size].[Dimension].[All]" allUniqueName="[penguins_size].[Dimension].[All]" dimensionUniqueName="[penguins_size]" displayFolder="" count="2" memberValueDatatype="130" unbalanced="0">
      <fieldsUsage count="2">
        <fieldUsage x="-1"/>
        <fieldUsage x="4"/>
      </fieldsUsage>
    </cacheHierarchy>
    <cacheHierarchy uniqueName="[Sexo].[sex]" caption="sex" attribute="1" defaultMemberUniqueName="[Sexo].[sex].[All]" allUniqueName="[Sexo].[sex].[All]" dimensionUniqueName="[Sexo]" displayFolder="" count="2" memberValueDatatype="130" unbalanced="0">
      <fieldsUsage count="2">
        <fieldUsage x="-1"/>
        <fieldUsage x="0"/>
      </fieldsUsage>
    </cacheHierarchy>
    <cacheHierarchy uniqueName="[Measures].[Peso medio]" caption="Peso medio" measure="1" displayFolder="" measureGroup="penguins_size" count="0"/>
    <cacheHierarchy uniqueName="[Measures].[Longitud Pico Media]" caption="Longitud Pico Media" measure="1" displayFolder="" measureGroup="penguins_size" count="0" oneField="1">
      <fieldsUsage count="1">
        <fieldUsage x="1"/>
      </fieldsUsage>
    </cacheHierarchy>
    <cacheHierarchy uniqueName="[Measures].[Profundidad Pico Media]" caption="Profundidad Pico Media" measure="1" displayFolder="" measureGroup="penguins_size" count="0" oneField="1">
      <fieldsUsage count="1">
        <fieldUsage x="2"/>
      </fieldsUsage>
    </cacheHierarchy>
    <cacheHierarchy uniqueName="[Measures].[Aleta Media]" caption="Aleta Media" measure="1" displayFolder="" measureGroup="penguins_size" count="0" oneField="1">
      <fieldsUsage count="1">
        <fieldUsage x="3"/>
      </fieldsUsage>
    </cacheHierarchy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  <cacheHierarchy uniqueName="[Measures].[Recuento de species]" caption="Recuento de species" measure="1" displayFolder="" measureGroup="penguins_siz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Especies" uniqueName="[Especies]" caption="Especies"/>
    <dimension name="Islas" uniqueName="[Islas]" caption="Islas"/>
    <dimension measure="1" name="Measures" uniqueName="[Measures]" caption="Measures"/>
    <dimension name="penguins_size" uniqueName="[penguins_size]" caption="penguins_size"/>
    <dimension name="Sexo" uniqueName="[Sexo]" caption="Sexo"/>
  </dimensions>
  <measureGroups count="4">
    <measureGroup name="Especies" caption="Especies"/>
    <measureGroup name="Islas" caption="Islas"/>
    <measureGroup name="penguins_size" caption="penguins_size"/>
    <measureGroup name="Sexo" caption="Sexo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806406828706" backgroundQuery="1" createdVersion="8" refreshedVersion="8" minRefreshableVersion="3" recordCount="0" supportSubquery="1" supportAdvancedDrill="1" xr:uid="{6223FC50-909F-43C2-A736-B0B77DA4E05C}">
  <cacheSource type="external" connectionId="9"/>
  <cacheFields count="5">
    <cacheField name="[Especies].[species].[species]" caption="species" numFmtId="0" level="1">
      <sharedItems count="3">
        <s v="Adelie"/>
        <s v="Chinstrap"/>
        <s v="Gentoo"/>
      </sharedItems>
    </cacheField>
    <cacheField name="[Measures].[Longitud Pico Media]" caption="Longitud Pico Media" numFmtId="0" hierarchy="13" level="32767"/>
    <cacheField name="[Measures].[Profundidad Pico Media]" caption="Profundidad Pico Media" numFmtId="0" hierarchy="14" level="32767"/>
    <cacheField name="[Measures].[Aleta Media]" caption="Aleta Media" numFmtId="0" hierarchy="15" level="32767"/>
    <cacheField name="[penguins_size].[species].[species]" caption="species" numFmtId="0" hierarchy="2" level="1">
      <sharedItems containsSemiMixedTypes="0" containsNonDate="0" containsString="0"/>
    </cacheField>
  </cacheFields>
  <cacheHierarchies count="23">
    <cacheHierarchy uniqueName="[Especies].[species]" caption="species" attribute="1" defaultMemberUniqueName="[Especies].[species].[All]" allUniqueName="[Especies].[species].[All]" dimensionUniqueName="[Especies]" displayFolder="" count="2" memberValueDatatype="130" unbalanced="0">
      <fieldsUsage count="2">
        <fieldUsage x="-1"/>
        <fieldUsage x="0"/>
      </fieldsUsage>
    </cacheHierarchy>
    <cacheHierarchy uniqueName="[Islas].[island]" caption="island" attribute="1" defaultMemberUniqueName="[Islas].[island].[All]" allUniqueName="[Islas].[island].[All]" dimensionUniqueName="[Islas]" displayFolder="" count="0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2" memberValueDatatype="130" unbalanced="0">
      <fieldsUsage count="2">
        <fieldUsage x="-1"/>
        <fieldUsage x="4"/>
      </fieldsUsage>
    </cacheHierarchy>
    <cacheHierarchy uniqueName="[penguins_size].[island]" caption="island" attribute="1" defaultMemberUniqueName="[penguins_size].[island].[All]" allUniqueName="[penguins_size].[island].[All]" dimensionUniqueName="[penguins_size]" displayFolder="" count="0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0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0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0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0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0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0" memberValueDatatype="130" unbalanced="0"/>
    <cacheHierarchy uniqueName="[penguins_size].[Dimension]" caption="Dimension" attribute="1" defaultMemberUniqueName="[penguins_size].[Dimension].[All]" allUniqueName="[penguins_size].[Dimension].[All]" dimensionUniqueName="[penguins_size]" displayFolder="" count="0" memberValueDatatype="130" unbalanced="0"/>
    <cacheHierarchy uniqueName="[Sexo].[sex]" caption="sex" attribute="1" defaultMemberUniqueName="[Sexo].[sex].[All]" allUniqueName="[Sexo].[sex].[All]" dimensionUniqueName="[Sexo]" displayFolder="" count="0" memberValueDatatype="130" unbalanced="0"/>
    <cacheHierarchy uniqueName="[Measures].[Peso medio]" caption="Peso medio" measure="1" displayFolder="" measureGroup="penguins_size" count="0"/>
    <cacheHierarchy uniqueName="[Measures].[Longitud Pico Media]" caption="Longitud Pico Media" measure="1" displayFolder="" measureGroup="penguins_size" count="0" oneField="1">
      <fieldsUsage count="1">
        <fieldUsage x="1"/>
      </fieldsUsage>
    </cacheHierarchy>
    <cacheHierarchy uniqueName="[Measures].[Profundidad Pico Media]" caption="Profundidad Pico Media" measure="1" displayFolder="" measureGroup="penguins_size" count="0" oneField="1">
      <fieldsUsage count="1">
        <fieldUsage x="2"/>
      </fieldsUsage>
    </cacheHierarchy>
    <cacheHierarchy uniqueName="[Measures].[Aleta Media]" caption="Aleta Media" measure="1" displayFolder="" measureGroup="penguins_size" count="0" oneField="1">
      <fieldsUsage count="1">
        <fieldUsage x="3"/>
      </fieldsUsage>
    </cacheHierarchy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  <cacheHierarchy uniqueName="[Measures].[Recuento de species]" caption="Recuento de species" measure="1" displayFolder="" measureGroup="penguins_siz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Especies" uniqueName="[Especies]" caption="Especies"/>
    <dimension name="Islas" uniqueName="[Islas]" caption="Islas"/>
    <dimension measure="1" name="Measures" uniqueName="[Measures]" caption="Measures"/>
    <dimension name="penguins_size" uniqueName="[penguins_size]" caption="penguins_size"/>
    <dimension name="Sexo" uniqueName="[Sexo]" caption="Sexo"/>
  </dimensions>
  <measureGroups count="4">
    <measureGroup name="Especies" caption="Especies"/>
    <measureGroup name="Islas" caption="Islas"/>
    <measureGroup name="penguins_size" caption="penguins_size"/>
    <measureGroup name="Sexo" caption="Sexo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806407523145" backgroundQuery="1" createdVersion="8" refreshedVersion="8" minRefreshableVersion="3" recordCount="0" supportSubquery="1" supportAdvancedDrill="1" xr:uid="{0DBA89ED-B07F-4E21-A8E5-BD3AEC0849DC}">
  <cacheSource type="external" connectionId="9"/>
  <cacheFields count="4">
    <cacheField name="[Especies].[species].[species]" caption="species" numFmtId="0" level="1">
      <sharedItems count="3">
        <s v="Adelie"/>
        <s v="Chinstrap"/>
        <s v="Gentoo"/>
      </sharedItems>
    </cacheField>
    <cacheField name="[Sexo].[sex].[sex]" caption="sex" numFmtId="0" hierarchy="11" level="1">
      <sharedItems count="2">
        <s v="FEMALE"/>
        <s v="MALE"/>
      </sharedItems>
    </cacheField>
    <cacheField name="[Measures].[Peso medio]" caption="Peso medio" numFmtId="0" hierarchy="12" level="32767"/>
    <cacheField name="[penguins_size].[species].[species]" caption="species" numFmtId="0" hierarchy="2" level="1">
      <sharedItems containsSemiMixedTypes="0" containsNonDate="0" containsString="0"/>
    </cacheField>
  </cacheFields>
  <cacheHierarchies count="23">
    <cacheHierarchy uniqueName="[Especies].[species]" caption="species" attribute="1" defaultMemberUniqueName="[Especies].[species].[All]" allUniqueName="[Especies].[species].[All]" dimensionUniqueName="[Especies]" displayFolder="" count="2" memberValueDatatype="130" unbalanced="0">
      <fieldsUsage count="2">
        <fieldUsage x="-1"/>
        <fieldUsage x="0"/>
      </fieldsUsage>
    </cacheHierarchy>
    <cacheHierarchy uniqueName="[Islas].[island]" caption="island" attribute="1" defaultMemberUniqueName="[Islas].[island].[All]" allUniqueName="[Islas].[island].[All]" dimensionUniqueName="[Islas]" displayFolder="" count="0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2" memberValueDatatype="130" unbalanced="0">
      <fieldsUsage count="2">
        <fieldUsage x="-1"/>
        <fieldUsage x="3"/>
      </fieldsUsage>
    </cacheHierarchy>
    <cacheHierarchy uniqueName="[penguins_size].[island]" caption="island" attribute="1" defaultMemberUniqueName="[penguins_size].[island].[All]" allUniqueName="[penguins_size].[island].[All]" dimensionUniqueName="[penguins_size]" displayFolder="" count="0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0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0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0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0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0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0" memberValueDatatype="130" unbalanced="0"/>
    <cacheHierarchy uniqueName="[penguins_size].[Dimension]" caption="Dimension" attribute="1" defaultMemberUniqueName="[penguins_size].[Dimension].[All]" allUniqueName="[penguins_size].[Dimension].[All]" dimensionUniqueName="[penguins_size]" displayFolder="" count="0" memberValueDatatype="130" unbalanced="0"/>
    <cacheHierarchy uniqueName="[Sexo].[sex]" caption="sex" attribute="1" defaultMemberUniqueName="[Sexo].[sex].[All]" allUniqueName="[Sexo].[sex].[All]" dimensionUniqueName="[Sexo]" displayFolder="" count="2" memberValueDatatype="130" unbalanced="0">
      <fieldsUsage count="2">
        <fieldUsage x="-1"/>
        <fieldUsage x="1"/>
      </fieldsUsage>
    </cacheHierarchy>
    <cacheHierarchy uniqueName="[Measures].[Peso medio]" caption="Peso medio" measure="1" displayFolder="" measureGroup="penguins_size" count="0" oneField="1">
      <fieldsUsage count="1">
        <fieldUsage x="2"/>
      </fieldsUsage>
    </cacheHierarchy>
    <cacheHierarchy uniqueName="[Measures].[Longitud Pico Media]" caption="Longitud Pico Media" measure="1" displayFolder="" measureGroup="penguins_size" count="0"/>
    <cacheHierarchy uniqueName="[Measures].[Profundidad Pico Media]" caption="Profundidad Pico Media" measure="1" displayFolder="" measureGroup="penguins_size" count="0"/>
    <cacheHierarchy uniqueName="[Measures].[Aleta Media]" caption="Aleta Media" measure="1" displayFolder="" measureGroup="penguins_size" count="0"/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  <cacheHierarchy uniqueName="[Measures].[Recuento de species]" caption="Recuento de species" measure="1" displayFolder="" measureGroup="penguins_siz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Especies" uniqueName="[Especies]" caption="Especies"/>
    <dimension name="Islas" uniqueName="[Islas]" caption="Islas"/>
    <dimension measure="1" name="Measures" uniqueName="[Measures]" caption="Measures"/>
    <dimension name="penguins_size" uniqueName="[penguins_size]" caption="penguins_size"/>
    <dimension name="Sexo" uniqueName="[Sexo]" caption="Sexo"/>
  </dimensions>
  <measureGroups count="4">
    <measureGroup name="Especies" caption="Especies"/>
    <measureGroup name="Islas" caption="Islas"/>
    <measureGroup name="penguins_size" caption="penguins_size"/>
    <measureGroup name="Sexo" caption="Sexo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806408101853" backgroundQuery="1" createdVersion="8" refreshedVersion="8" minRefreshableVersion="3" recordCount="0" supportSubquery="1" supportAdvancedDrill="1" xr:uid="{9531D578-09ED-49DE-A75F-C4C217EABB08}">
  <cacheSource type="external" connectionId="9"/>
  <cacheFields count="3">
    <cacheField name="[Sexo].[sex].[sex]" caption="sex" numFmtId="0" hierarchy="11" level="1">
      <sharedItems count="2">
        <s v="FEMALE"/>
        <s v="MALE"/>
      </sharedItems>
    </cacheField>
    <cacheField name="[Measures].[Peso medio]" caption="Peso medio" numFmtId="0" hierarchy="12" level="32767"/>
    <cacheField name="[penguins_size].[species].[species]" caption="species" numFmtId="0" hierarchy="2" level="1">
      <sharedItems containsSemiMixedTypes="0" containsNonDate="0" containsString="0"/>
    </cacheField>
  </cacheFields>
  <cacheHierarchies count="23">
    <cacheHierarchy uniqueName="[Especies].[species]" caption="species" attribute="1" defaultMemberUniqueName="[Especies].[species].[All]" allUniqueName="[Especies].[species].[All]" dimensionUniqueName="[Especies]" displayFolder="" count="0" memberValueDatatype="130" unbalanced="0"/>
    <cacheHierarchy uniqueName="[Islas].[island]" caption="island" attribute="1" defaultMemberUniqueName="[Islas].[island].[All]" allUniqueName="[Islas].[island].[All]" dimensionUniqueName="[Islas]" displayFolder="" count="0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2" memberValueDatatype="130" unbalanced="0">
      <fieldsUsage count="2">
        <fieldUsage x="-1"/>
        <fieldUsage x="2"/>
      </fieldsUsage>
    </cacheHierarchy>
    <cacheHierarchy uniqueName="[penguins_size].[island]" caption="island" attribute="1" defaultMemberUniqueName="[penguins_size].[island].[All]" allUniqueName="[penguins_size].[island].[All]" dimensionUniqueName="[penguins_size]" displayFolder="" count="0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0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0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0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0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0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0" memberValueDatatype="130" unbalanced="0"/>
    <cacheHierarchy uniqueName="[penguins_size].[Dimension]" caption="Dimension" attribute="1" defaultMemberUniqueName="[penguins_size].[Dimension].[All]" allUniqueName="[penguins_size].[Dimension].[All]" dimensionUniqueName="[penguins_size]" displayFolder="" count="0" memberValueDatatype="130" unbalanced="0"/>
    <cacheHierarchy uniqueName="[Sexo].[sex]" caption="sex" attribute="1" defaultMemberUniqueName="[Sexo].[sex].[All]" allUniqueName="[Sexo].[sex].[All]" dimensionUniqueName="[Sexo]" displayFolder="" count="2" memberValueDatatype="130" unbalanced="0">
      <fieldsUsage count="2">
        <fieldUsage x="-1"/>
        <fieldUsage x="0"/>
      </fieldsUsage>
    </cacheHierarchy>
    <cacheHierarchy uniqueName="[Measures].[Peso medio]" caption="Peso medio" measure="1" displayFolder="" measureGroup="penguins_size" count="0" oneField="1">
      <fieldsUsage count="1">
        <fieldUsage x="1"/>
      </fieldsUsage>
    </cacheHierarchy>
    <cacheHierarchy uniqueName="[Measures].[Longitud Pico Media]" caption="Longitud Pico Media" measure="1" displayFolder="" measureGroup="penguins_size" count="0"/>
    <cacheHierarchy uniqueName="[Measures].[Profundidad Pico Media]" caption="Profundidad Pico Media" measure="1" displayFolder="" measureGroup="penguins_size" count="0"/>
    <cacheHierarchy uniqueName="[Measures].[Aleta Media]" caption="Aleta Media" measure="1" displayFolder="" measureGroup="penguins_size" count="0"/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  <cacheHierarchy uniqueName="[Measures].[Recuento de species]" caption="Recuento de species" measure="1" displayFolder="" measureGroup="penguins_siz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Especies" uniqueName="[Especies]" caption="Especies"/>
    <dimension name="Islas" uniqueName="[Islas]" caption="Islas"/>
    <dimension measure="1" name="Measures" uniqueName="[Measures]" caption="Measures"/>
    <dimension name="penguins_size" uniqueName="[penguins_size]" caption="penguins_size"/>
    <dimension name="Sexo" uniqueName="[Sexo]" caption="Sexo"/>
  </dimensions>
  <measureGroups count="4">
    <measureGroup name="Especies" caption="Especies"/>
    <measureGroup name="Islas" caption="Islas"/>
    <measureGroup name="penguins_size" caption="penguins_size"/>
    <measureGroup name="Sexo" caption="Sexo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806408564815" backgroundQuery="1" createdVersion="8" refreshedVersion="8" minRefreshableVersion="3" recordCount="0" supportSubquery="1" supportAdvancedDrill="1" xr:uid="{B7848766-45F3-4AFD-B3DF-7820EEBC84B0}">
  <cacheSource type="external" connectionId="9"/>
  <cacheFields count="4">
    <cacheField name="[penguins_size].[Intervalos].[Intervalos]" caption="Intervalos" numFmtId="0" hierarchy="9" level="1">
      <sharedItems count="13">
        <s v="(170-175]"/>
        <s v="(175-180]"/>
        <s v="(180-185]"/>
        <s v="(185-190]"/>
        <s v="(190-195]"/>
        <s v="(195-200]"/>
        <s v="(200-205]"/>
        <s v="(205-210]"/>
        <s v="(210-215]"/>
        <s v="(215-220]"/>
        <s v="(220-225]"/>
        <s v="(225-231]"/>
        <s v="(230-235]"/>
      </sharedItems>
    </cacheField>
    <cacheField name="[Especies].[species].[species]" caption="species" numFmtId="0" level="1">
      <sharedItems count="3">
        <s v="Adelie"/>
        <s v="Chinstrap"/>
        <s v="Gentoo"/>
      </sharedItems>
    </cacheField>
    <cacheField name="[Measures].[Recuento de species]" caption="Recuento de species" numFmtId="0" hierarchy="22" level="32767"/>
    <cacheField name="[penguins_size].[species].[species]" caption="species" numFmtId="0" hierarchy="2" level="1">
      <sharedItems containsSemiMixedTypes="0" containsNonDate="0" containsString="0"/>
    </cacheField>
  </cacheFields>
  <cacheHierarchies count="23">
    <cacheHierarchy uniqueName="[Especies].[species]" caption="species" attribute="1" defaultMemberUniqueName="[Especies].[species].[All]" allUniqueName="[Especies].[species].[All]" dimensionUniqueName="[Especies]" displayFolder="" count="2" memberValueDatatype="130" unbalanced="0">
      <fieldsUsage count="2">
        <fieldUsage x="-1"/>
        <fieldUsage x="1"/>
      </fieldsUsage>
    </cacheHierarchy>
    <cacheHierarchy uniqueName="[Islas].[island]" caption="island" attribute="1" defaultMemberUniqueName="[Islas].[island].[All]" allUniqueName="[Islas].[island].[All]" dimensionUniqueName="[Islas]" displayFolder="" count="2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2" memberValueDatatype="130" unbalanced="0">
      <fieldsUsage count="2">
        <fieldUsage x="-1"/>
        <fieldUsage x="3"/>
      </fieldsUsage>
    </cacheHierarchy>
    <cacheHierarchy uniqueName="[penguins_size].[island]" caption="island" attribute="1" defaultMemberUniqueName="[penguins_size].[island].[All]" allUniqueName="[penguins_size].[island].[All]" dimensionUniqueName="[penguins_size]" displayFolder="" count="2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2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2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2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2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2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2" memberValueDatatype="130" unbalanced="0">
      <fieldsUsage count="2">
        <fieldUsage x="-1"/>
        <fieldUsage x="0"/>
      </fieldsUsage>
    </cacheHierarchy>
    <cacheHierarchy uniqueName="[penguins_size].[Dimension]" caption="Dimension" attribute="1" defaultMemberUniqueName="[penguins_size].[Dimension].[All]" allUniqueName="[penguins_size].[Dimension].[All]" dimensionUniqueName="[penguins_size]" displayFolder="" count="2" memberValueDatatype="130" unbalanced="0"/>
    <cacheHierarchy uniqueName="[Sexo].[sex]" caption="sex" attribute="1" defaultMemberUniqueName="[Sexo].[sex].[All]" allUniqueName="[Sexo].[sex].[All]" dimensionUniqueName="[Sexo]" displayFolder="" count="2" memberValueDatatype="130" unbalanced="0"/>
    <cacheHierarchy uniqueName="[Measures].[Peso medio]" caption="Peso medio" measure="1" displayFolder="" measureGroup="penguins_size" count="0"/>
    <cacheHierarchy uniqueName="[Measures].[Longitud Pico Media]" caption="Longitud Pico Media" measure="1" displayFolder="" measureGroup="penguins_size" count="0"/>
    <cacheHierarchy uniqueName="[Measures].[Profundidad Pico Media]" caption="Profundidad Pico Media" measure="1" displayFolder="" measureGroup="penguins_size" count="0"/>
    <cacheHierarchy uniqueName="[Measures].[Aleta Media]" caption="Aleta Media" measure="1" displayFolder="" measureGroup="penguins_size" count="0"/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  <cacheHierarchy uniqueName="[Measures].[Recuento de species]" caption="Recuento de species" measure="1" displayFolder="" measureGroup="penguins_siz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5">
    <dimension name="Especies" uniqueName="[Especies]" caption="Especies"/>
    <dimension name="Islas" uniqueName="[Islas]" caption="Islas"/>
    <dimension measure="1" name="Measures" uniqueName="[Measures]" caption="Measures"/>
    <dimension name="penguins_size" uniqueName="[penguins_size]" caption="penguins_size"/>
    <dimension name="Sexo" uniqueName="[Sexo]" caption="Sexo"/>
  </dimensions>
  <measureGroups count="4">
    <measureGroup name="Especies" caption="Especies"/>
    <measureGroup name="Islas" caption="Islas"/>
    <measureGroup name="penguins_size" caption="penguins_size"/>
    <measureGroup name="Sexo" caption="Sexo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lmi" refreshedDate="46286.439039814817" backgroundQuery="1" createdVersion="3" refreshedVersion="8" minRefreshableVersion="3" recordCount="0" supportSubquery="1" supportAdvancedDrill="1" xr:uid="{96192EFF-2C43-45ED-A186-9C5B533A50D5}">
  <cacheSource type="external" connectionId="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2">
    <cacheHierarchy uniqueName="[Especies].[species]" caption="species" attribute="1" defaultMemberUniqueName="[Especies].[species].[All]" allUniqueName="[Especies].[species].[All]" dimensionUniqueName="[Especies]" displayFolder="" count="0" memberValueDatatype="130" unbalanced="0"/>
    <cacheHierarchy uniqueName="[Islas].[island]" caption="island" attribute="1" defaultMemberUniqueName="[Islas].[island].[All]" allUniqueName="[Islas].[island].[All]" dimensionUniqueName="[Islas]" displayFolder="" count="0" memberValueDatatype="130" unbalanced="0"/>
    <cacheHierarchy uniqueName="[penguins_size].[species]" caption="species" attribute="1" defaultMemberUniqueName="[penguins_size].[species].[All]" allUniqueName="[penguins_size].[species].[All]" dimensionUniqueName="[penguins_size]" displayFolder="" count="2" memberValueDatatype="130" unbalanced="0"/>
    <cacheHierarchy uniqueName="[penguins_size].[island]" caption="island" attribute="1" defaultMemberUniqueName="[penguins_size].[island].[All]" allUniqueName="[penguins_size].[island].[All]" dimensionUniqueName="[penguins_size]" displayFolder="" count="0" memberValueDatatype="130" unbalanced="0"/>
    <cacheHierarchy uniqueName="[penguins_size].[longitud pico (mm)]" caption="longitud pico (mm)" attribute="1" defaultMemberUniqueName="[penguins_size].[longitud pico (mm)].[All]" allUniqueName="[penguins_size].[longitud pico (mm)].[All]" dimensionUniqueName="[penguins_size]" displayFolder="" count="0" memberValueDatatype="5" unbalanced="0"/>
    <cacheHierarchy uniqueName="[penguins_size].[profundidad pico (mm)]" caption="profundidad pico (mm)" attribute="1" defaultMemberUniqueName="[penguins_size].[profundidad pico (mm)].[All]" allUniqueName="[penguins_size].[profundidad pico (mm)].[All]" dimensionUniqueName="[penguins_size]" displayFolder="" count="0" memberValueDatatype="5" unbalanced="0"/>
    <cacheHierarchy uniqueName="[penguins_size].[longitud aleta (mm)]" caption="longitud aleta (mm)" attribute="1" defaultMemberUniqueName="[penguins_size].[longitud aleta (mm)].[All]" allUniqueName="[penguins_size].[longitud aleta (mm)].[All]" dimensionUniqueName="[penguins_size]" displayFolder="" count="0" memberValueDatatype="20" unbalanced="0"/>
    <cacheHierarchy uniqueName="[penguins_size].[body_mass_g]" caption="body_mass_g" attribute="1" defaultMemberUniqueName="[penguins_size].[body_mass_g].[All]" allUniqueName="[penguins_size].[body_mass_g].[All]" dimensionUniqueName="[penguins_size]" displayFolder="" count="0" memberValueDatatype="20" unbalanced="0"/>
    <cacheHierarchy uniqueName="[penguins_size].[sex]" caption="sex" attribute="1" defaultMemberUniqueName="[penguins_size].[sex].[All]" allUniqueName="[penguins_size].[sex].[All]" dimensionUniqueName="[penguins_size]" displayFolder="" count="2" memberValueDatatype="130" unbalanced="0"/>
    <cacheHierarchy uniqueName="[penguins_size].[Intervalos]" caption="Intervalos" attribute="1" defaultMemberUniqueName="[penguins_size].[Intervalos].[All]" allUniqueName="[penguins_size].[Intervalos].[All]" dimensionUniqueName="[penguins_size]" displayFolder="" count="0" memberValueDatatype="130" unbalanced="0"/>
    <cacheHierarchy uniqueName="[penguins_size].[Dimension]" caption="Dimension" attribute="1" defaultMemberUniqueName="[penguins_size].[Dimension].[All]" allUniqueName="[penguins_size].[Dimension].[All]" dimensionUniqueName="[penguins_size]" displayFolder="" count="2" memberValueDatatype="130" unbalanced="0"/>
    <cacheHierarchy uniqueName="[Sexo].[sex]" caption="sex" attribute="1" defaultMemberUniqueName="[Sexo].[sex].[All]" allUniqueName="[Sexo].[sex].[All]" dimensionUniqueName="[Sexo]" displayFolder="" count="0" memberValueDatatype="130" unbalanced="0"/>
    <cacheHierarchy uniqueName="[Measures].[Peso medio]" caption="Peso medio" measure="1" displayFolder="" measureGroup="penguins_size" count="0"/>
    <cacheHierarchy uniqueName="[Measures].[Longitud Pico Media]" caption="Longitud Pico Media" measure="1" displayFolder="" measureGroup="penguins_size" count="0"/>
    <cacheHierarchy uniqueName="[Measures].[Profundidad Pico Media]" caption="Profundidad Pico Media" measure="1" displayFolder="" measureGroup="penguins_size" count="0"/>
    <cacheHierarchy uniqueName="[Measures].[Aleta Media]" caption="Aleta Media" measure="1" displayFolder="" measureGroup="penguins_size" count="0"/>
    <cacheHierarchy uniqueName="[Measures].[Dif peso M-H]" caption="Dif peso M-H" measure="1" displayFolder="" measureGroup="penguins_size" count="0"/>
    <cacheHierarchy uniqueName="[Measures].[__XL_Count penguins_size]" caption="__XL_Count penguins_size" measure="1" displayFolder="" measureGroup="penguins_size" count="0" hidden="1"/>
    <cacheHierarchy uniqueName="[Measures].[__XL_Count Sexo]" caption="__XL_Count Sexo" measure="1" displayFolder="" measureGroup="Sexo" count="0" hidden="1"/>
    <cacheHierarchy uniqueName="[Measures].[__XL_Count Islas]" caption="__XL_Count Islas" measure="1" displayFolder="" measureGroup="Islas" count="0" hidden="1"/>
    <cacheHierarchy uniqueName="[Measures].[__XL_Count Especies]" caption="__XL_Count Especies" measure="1" displayFolder="" measureGroup="Especi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19126992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0F495-B200-4D94-A162-E87B611E8DCE}" name="TablaDinámica2" cacheId="57" dataOnRows="1" applyNumberFormats="0" applyBorderFormats="0" applyFontFormats="0" applyPatternFormats="0" applyAlignmentFormats="0" applyWidthHeightFormats="1" dataCaption="Valores" tag="9fe8afa1-a18e-4eeb-9be7-442e05101457" updatedVersion="8" minRefreshableVersion="3" itemPrintTitles="1" createdVersion="8" indent="0" outline="1" outlineData="1" multipleFieldFilters="0" chartFormat="11">
  <location ref="H3:L7" firstHeaderRow="1" firstDataRow="2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-2"/>
  </rowFields>
  <rowItems count="3">
    <i>
      <x/>
    </i>
    <i i="1">
      <x v="1"/>
    </i>
    <i i="2">
      <x v="2"/>
    </i>
  </rowItems>
  <colFields count="1">
    <field x="0"/>
  </colFields>
  <colItems count="4">
    <i>
      <x/>
    </i>
    <i>
      <x v="1"/>
    </i>
    <i>
      <x v="2"/>
    </i>
    <i t="grand">
      <x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">
    <format dxfId="0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species]"/>
        <x15:activeTabTopLevelEntity name="[penguins_siz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4DD4E-09BB-4121-BF4A-071BD15DBD12}" name="TablaDinámica5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5:B53" firstHeaderRow="1" firstDataRow="1" firstDataCol="1"/>
  <pivotFields count="4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0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Recuento de species" fld="2" subtotal="count" baseField="0" baseItem="0"/>
  </dataFields>
  <chartFormats count="7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2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2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2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2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2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2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2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2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2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2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2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2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2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2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2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2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2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2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2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2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2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1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6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enguins_size]"/>
        <x15:activeTabTopLevelEntity name="[Espec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F01D5-2FD4-482C-A19C-3454B3B5E665}" name="TablaDinámica1" cacheId="54" dataOnRows="1" applyNumberFormats="0" applyBorderFormats="0" applyFontFormats="0" applyPatternFormats="0" applyAlignmentFormats="0" applyWidthHeightFormats="1" dataCaption="Valores" tag="5709a802-ee90-417a-9174-b4512a901947" updatedVersion="8" minRefreshableVersion="3" subtotalHiddenItems="1" itemPrintTitles="1" createdVersion="8" indent="0" outline="1" outlineData="1" multipleFieldFilters="0" chartFormat="11">
  <location ref="A3:D7" firstHeaderRow="1" firstDataRow="2" firstDataCol="1"/>
  <pivotFields count="6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-2"/>
  </rowFields>
  <rowItems count="3">
    <i>
      <x/>
    </i>
    <i i="1">
      <x v="1"/>
    </i>
    <i i="2">
      <x v="2"/>
    </i>
  </rowItems>
  <colFields count="1">
    <field x="0"/>
  </colFields>
  <colItems count="3">
    <i>
      <x/>
    </i>
    <i>
      <x v="1"/>
    </i>
    <i t="grand">
      <x/>
    </i>
  </colItems>
  <dataFields count="3">
    <dataField fld="1" subtotal="count" baseField="0" baseItem="0"/>
    <dataField fld="2" subtotal="count" baseField="0" baseItem="0"/>
    <dataField fld="3" subtotal="count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penguins_size].[Dimension].&amp;[Pequeño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-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xo]"/>
        <x15:activeTabTopLevelEntity name="[penguins_siz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02BB2-0085-4FCD-9662-6AAAE0479234}" name="TablaDinámica4" cacheId="63" applyNumberFormats="0" applyBorderFormats="0" applyFontFormats="0" applyPatternFormats="0" applyAlignmentFormats="0" applyWidthHeightFormats="1" dataCaption="Valores" tag="973f6487-d0bd-44af-a93d-e6ecb0c04c2c" updatedVersion="8" minRefreshableVersion="3" useAutoFormatting="1" itemPrintTitles="1" createdVersion="8" indent="0" outline="1" outlineData="1" multipleFieldFilters="0" chartFormat="7">
  <location ref="A10:D12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0"/>
  </colFields>
  <colItems count="3">
    <i>
      <x/>
    </i>
    <i>
      <x v="1"/>
    </i>
    <i t="grand">
      <x/>
    </i>
  </colItems>
  <dataFields count="1">
    <dataField fld="1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2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xo]"/>
        <x15:activeTabTopLevelEntity name="[penguins_siz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FB64A-5DA3-432C-B320-7B2CED8A787C}" name="TablaDinámica3" cacheId="60" applyNumberFormats="0" applyBorderFormats="0" applyFontFormats="0" applyPatternFormats="0" applyAlignmentFormats="0" applyWidthHeightFormats="1" dataCaption="Valores" tag="ad9bb2ba-f3c9-45a6-9b48-6738033fc7b1" updatedVersion="8" minRefreshableVersion="3" useAutoFormatting="1" itemPrintTitles="1" createdVersion="8" indent="0" outline="1" outlineData="1" multipleFieldFilters="0">
  <location ref="H12:L16" firstHeaderRow="1" firstDataRow="2" firstDataCol="1"/>
  <pivotFields count="4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2" subtotal="count" baseField="0" baseItem="0"/>
  </dataFields>
  <pivotHierarchies count="23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exo]"/>
        <x15:activeTabTopLevelEntity name="[penguins_size]"/>
        <x15:activeTabTopLevelEntity name="[Espec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06CBA-795B-45F0-B839-F27D799436AC}" name="TablaDiná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N3:R5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species]"/>
        <x15:activeTabTopLevelEntity name="[penguins_siz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5" xr16:uid="{DE9B9DE9-E3CC-4E5B-B709-E18720DDE28E}" autoFormatId="16" applyNumberFormats="0" applyBorderFormats="0" applyFontFormats="0" applyPatternFormats="0" applyAlignmentFormats="0" applyWidthHeightFormats="0">
  <queryTableRefresh nextId="17">
    <queryTableFields count="9">
      <queryTableField id="1" name="species" tableColumnId="1"/>
      <queryTableField id="2" name="island" tableColumnId="2"/>
      <queryTableField id="9" name="longitud pico (mm)" tableColumnId="3"/>
      <queryTableField id="10" name="profundidad pico (mm)" tableColumnId="4"/>
      <queryTableField id="11" name="longitud aleta (mm)" tableColumnId="5"/>
      <queryTableField id="6" name="body_mass_g" tableColumnId="6"/>
      <queryTableField id="7" name="sex" tableColumnId="7"/>
      <queryTableField id="15" name="Intervalos" tableColumnId="9"/>
      <queryTableField id="8" name="Dimension" tableColumnId="8"/>
    </queryTableFields>
  </queryTableRefresh>
  <extLst>
    <ext xmlns:x15="http://schemas.microsoft.com/office/spreadsheetml/2010/11/main" uri="{883FBD77-0823-4a55-B5E3-86C4891E6966}">
      <x15:queryTable sourceDataName="Consulta - penguins_siz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8" xr16:uid="{44262EF1-EEE8-4D7D-A89B-A93351372499}" autoFormatId="16" applyNumberFormats="0" applyBorderFormats="0" applyFontFormats="0" applyPatternFormats="0" applyAlignmentFormats="0" applyWidthHeightFormats="0">
  <queryTableRefresh nextId="3">
    <queryTableFields count="1">
      <queryTableField id="2" name="island" tableColumnId="2"/>
    </queryTableFields>
  </queryTableRefresh>
  <extLst>
    <ext xmlns:x15="http://schemas.microsoft.com/office/spreadsheetml/2010/11/main" uri="{883FBD77-0823-4a55-B5E3-86C4891E6966}">
      <x15:queryTable sourceDataName="Consulta - Isla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6" xr16:uid="{C19D5936-9900-4FD8-9B77-3430450A572D}" autoFormatId="16" applyNumberFormats="0" applyBorderFormats="0" applyFontFormats="0" applyPatternFormats="0" applyAlignmentFormats="0" applyWidthHeightFormats="0">
  <queryTableRefresh nextId="2">
    <queryTableFields count="1">
      <queryTableField id="1" name="sex" tableColumnId="1"/>
    </queryTableFields>
  </queryTableRefresh>
  <extLst>
    <ext xmlns:x15="http://schemas.microsoft.com/office/spreadsheetml/2010/11/main" uri="{883FBD77-0823-4a55-B5E3-86C4891E6966}">
      <x15:queryTable sourceDataName="Consulta - Sexo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7" xr16:uid="{E4414225-2924-4AB3-9BD7-74A3DD099BE1}" autoFormatId="16" applyNumberFormats="0" applyBorderFormats="0" applyFontFormats="0" applyPatternFormats="0" applyAlignmentFormats="0" applyWidthHeightFormats="0">
  <queryTableRefresh nextId="2">
    <queryTableFields count="1">
      <queryTableField id="1" name="species" tableColumnId="1"/>
    </queryTableFields>
  </queryTableRefresh>
  <extLst>
    <ext xmlns:x15="http://schemas.microsoft.com/office/spreadsheetml/2010/11/main" uri="{883FBD77-0823-4a55-B5E3-86C4891E6966}">
      <x15:queryTable sourceDataName="Consulta - Especie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ecies" xr10:uid="{8F8FE3A1-76BC-45DE-A273-BBFE9A77F338}" sourceName="[penguins_size].[species]">
  <pivotTables>
    <pivotTable tabId="1" name="TablaDinámica1"/>
    <pivotTable tabId="1" name="TablaDinámica2"/>
    <pivotTable tabId="1" name="TablaDinámica3"/>
    <pivotTable tabId="1" name="TablaDinámica4"/>
    <pivotTable tabId="1" name="TablaDinámica5"/>
  </pivotTables>
  <data>
    <olap pivotCacheId="1191269926">
      <levels count="2">
        <level uniqueName="[penguins_size].[species].[(All)]" sourceCaption="(All)" count="0"/>
        <level uniqueName="[penguins_size].[species].[species]" sourceCaption="species" count="3">
          <ranges>
            <range startItem="0">
              <i n="[penguins_size].[species].&amp;[Adelie]" c="Adelie"/>
              <i n="[penguins_size].[species].&amp;[Chinstrap]" c="Chinstrap"/>
              <i n="[penguins_size].[species].&amp;[Gentoo]" c="Gentoo"/>
            </range>
          </ranges>
        </level>
      </levels>
      <selections count="1">
        <selection n="[penguins_size].[species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ecies" xr10:uid="{F8BA47AB-3892-4DB5-AF98-1BE6F06CE190}" cache="SegmentaciónDeDatos_species" caption="species" level="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pecies 1" xr10:uid="{78A20472-DC70-49F1-BCAD-ECAA4C6386D0}" cache="SegmentaciónDeDatos_species" caption="species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90C43-B203-4581-8ACB-2FF1BFF3388D}" name="penguins_size" displayName="penguins_size" ref="A1:I343" tableType="queryTable" totalsRowShown="0">
  <autoFilter ref="A1:I343" xr:uid="{43690C43-B203-4581-8ACB-2FF1BFF3388D}"/>
  <tableColumns count="9">
    <tableColumn id="1" xr3:uid="{76DD894B-1F0D-408D-9F65-1E5EC7D0450F}" uniqueName="1" name="species" queryTableFieldId="1" dataDxfId="11"/>
    <tableColumn id="2" xr3:uid="{99674902-B940-46EF-A165-A980500B50AB}" uniqueName="2" name="island" queryTableFieldId="2" dataDxfId="10"/>
    <tableColumn id="3" xr3:uid="{A36CBF05-C622-42E9-9E1D-7ABB7A5C7D2B}" uniqueName="3" name="longitud pico (mm)" queryTableFieldId="9" dataDxfId="9"/>
    <tableColumn id="4" xr3:uid="{D64040DA-9FA1-4ABF-BC0A-E105F712093A}" uniqueName="4" name="profundidad pico (mm)" queryTableFieldId="10" dataDxfId="8"/>
    <tableColumn id="5" xr3:uid="{D1C44ABC-344E-441A-91CA-00FF5E673D61}" uniqueName="5" name="longitud aleta (mm)" queryTableFieldId="11" dataDxfId="7"/>
    <tableColumn id="6" xr3:uid="{74AA3D44-C3AC-4001-90CC-622F3CFC1391}" uniqueName="6" name="body_mass_g" queryTableFieldId="6"/>
    <tableColumn id="7" xr3:uid="{907FE591-C7FD-4526-92F3-7706AF2086F3}" uniqueName="7" name="sex" queryTableFieldId="7" dataDxfId="6"/>
    <tableColumn id="9" xr3:uid="{003CFBF2-676C-4BA9-A0BB-562F50F77E40}" uniqueName="9" name="Intervalos" queryTableFieldId="15" dataDxfId="5"/>
    <tableColumn id="8" xr3:uid="{C120413E-E9CD-4BDA-BCE5-E9DF78EAE223}" uniqueName="8" name="Dimension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071D90-DF8C-4012-B0B8-00052C77A0AD}" name="Islas" displayName="Islas" ref="A1:A4" tableType="queryTable" totalsRowShown="0">
  <autoFilter ref="A1:A4" xr:uid="{43071D90-DF8C-4012-B0B8-00052C77A0AD}"/>
  <tableColumns count="1">
    <tableColumn id="2" xr3:uid="{64242808-B92A-45E8-92F3-79AFFFF748B8}" uniqueName="2" name="island" queryTableFieldId="2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B7BC6A-9C18-4C20-83EB-C7A2A47A50B7}" name="Sexo" displayName="Sexo" ref="A1:A3" tableType="queryTable" totalsRowShown="0">
  <autoFilter ref="A1:A3" xr:uid="{87B7BC6A-9C18-4C20-83EB-C7A2A47A50B7}"/>
  <tableColumns count="1">
    <tableColumn id="1" xr3:uid="{4E1B9D43-B397-4BA2-B712-482D6F1DB1E0}" uniqueName="1" name="sex" queryTableFieldId="1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DEDE4-FCFC-4BAE-B253-1E970A30A35F}" name="Especies" displayName="Especies" ref="A1:A4" tableType="queryTable" totalsRowShown="0">
  <autoFilter ref="A1:A4" xr:uid="{9BDDEDE4-FCFC-4BAE-B253-1E970A30A35F}"/>
  <tableColumns count="1">
    <tableColumn id="1" xr3:uid="{54C66F0A-2D77-491E-B4B0-46D1284B7315}" uniqueName="1" name="species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89C7-E746-4AAD-85E8-3688379CD77C}">
  <dimension ref="A1:L343"/>
  <sheetViews>
    <sheetView topLeftCell="H1" workbookViewId="0">
      <selection activeCell="L8" sqref="L8:Z13"/>
    </sheetView>
  </sheetViews>
  <sheetFormatPr baseColWidth="10" defaultRowHeight="14.4" x14ac:dyDescent="0.3"/>
  <cols>
    <col min="1" max="1" width="9.6640625" bestFit="1" customWidth="1"/>
    <col min="2" max="2" width="9" bestFit="1" customWidth="1"/>
    <col min="3" max="3" width="19.109375" bestFit="1" customWidth="1"/>
    <col min="4" max="4" width="22.5546875" bestFit="1" customWidth="1"/>
    <col min="5" max="5" width="19.6640625" bestFit="1" customWidth="1"/>
    <col min="6" max="6" width="14.21875" bestFit="1" customWidth="1"/>
    <col min="7" max="7" width="7.44140625" bestFit="1" customWidth="1"/>
    <col min="8" max="8" width="11.44140625" bestFit="1" customWidth="1"/>
    <col min="9" max="9" width="12.109375" customWidth="1"/>
    <col min="10" max="10" width="14.21875" bestFit="1" customWidth="1"/>
    <col min="11" max="11" width="7.44140625" bestFit="1" customWidth="1"/>
    <col min="12" max="12" width="18.109375" bestFit="1" customWidth="1"/>
    <col min="13" max="13" width="21.21875" bestFit="1" customWidth="1"/>
    <col min="14" max="25" width="8.88671875" bestFit="1" customWidth="1"/>
  </cols>
  <sheetData>
    <row r="1" spans="1:9" x14ac:dyDescent="0.3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2</v>
      </c>
      <c r="G1" t="s">
        <v>3</v>
      </c>
      <c r="H1" t="s">
        <v>39</v>
      </c>
      <c r="I1" t="s">
        <v>12</v>
      </c>
    </row>
    <row r="2" spans="1:9" x14ac:dyDescent="0.3">
      <c r="A2" t="s">
        <v>7</v>
      </c>
      <c r="B2" t="s">
        <v>5</v>
      </c>
      <c r="C2">
        <v>46.1</v>
      </c>
      <c r="D2">
        <v>13.2</v>
      </c>
      <c r="E2">
        <v>211</v>
      </c>
      <c r="F2">
        <v>4500</v>
      </c>
      <c r="G2" t="s">
        <v>11</v>
      </c>
      <c r="H2" t="s">
        <v>35</v>
      </c>
      <c r="I2" t="s">
        <v>13</v>
      </c>
    </row>
    <row r="3" spans="1:9" x14ac:dyDescent="0.3">
      <c r="A3" t="s">
        <v>7</v>
      </c>
      <c r="B3" t="s">
        <v>5</v>
      </c>
      <c r="C3">
        <v>50</v>
      </c>
      <c r="D3">
        <v>16.3</v>
      </c>
      <c r="E3">
        <v>230</v>
      </c>
      <c r="F3">
        <v>5700</v>
      </c>
      <c r="G3" t="s">
        <v>6</v>
      </c>
      <c r="H3" t="s">
        <v>40</v>
      </c>
      <c r="I3" t="s">
        <v>14</v>
      </c>
    </row>
    <row r="4" spans="1:9" x14ac:dyDescent="0.3">
      <c r="A4" t="s">
        <v>7</v>
      </c>
      <c r="B4" t="s">
        <v>5</v>
      </c>
      <c r="C4">
        <v>48.7</v>
      </c>
      <c r="D4">
        <v>14.1</v>
      </c>
      <c r="E4">
        <v>210</v>
      </c>
      <c r="F4">
        <v>4450</v>
      </c>
      <c r="G4" t="s">
        <v>11</v>
      </c>
      <c r="H4" t="s">
        <v>35</v>
      </c>
      <c r="I4" t="s">
        <v>13</v>
      </c>
    </row>
    <row r="5" spans="1:9" x14ac:dyDescent="0.3">
      <c r="A5" t="s">
        <v>7</v>
      </c>
      <c r="B5" t="s">
        <v>5</v>
      </c>
      <c r="C5">
        <v>50</v>
      </c>
      <c r="D5">
        <v>15.2</v>
      </c>
      <c r="E5">
        <v>218</v>
      </c>
      <c r="F5">
        <v>5700</v>
      </c>
      <c r="G5" t="s">
        <v>6</v>
      </c>
      <c r="H5" t="s">
        <v>36</v>
      </c>
      <c r="I5" t="s">
        <v>14</v>
      </c>
    </row>
    <row r="6" spans="1:9" x14ac:dyDescent="0.3">
      <c r="A6" t="s">
        <v>7</v>
      </c>
      <c r="B6" t="s">
        <v>5</v>
      </c>
      <c r="C6">
        <v>47.6</v>
      </c>
      <c r="D6">
        <v>14.5</v>
      </c>
      <c r="E6">
        <v>215</v>
      </c>
      <c r="F6">
        <v>5400</v>
      </c>
      <c r="G6" t="s">
        <v>6</v>
      </c>
      <c r="H6" t="s">
        <v>36</v>
      </c>
      <c r="I6" t="s">
        <v>14</v>
      </c>
    </row>
    <row r="7" spans="1:9" x14ac:dyDescent="0.3">
      <c r="A7" t="s">
        <v>7</v>
      </c>
      <c r="B7" t="s">
        <v>5</v>
      </c>
      <c r="C7">
        <v>46.5</v>
      </c>
      <c r="D7">
        <v>13.5</v>
      </c>
      <c r="E7">
        <v>210</v>
      </c>
      <c r="F7">
        <v>4550</v>
      </c>
      <c r="G7" t="s">
        <v>11</v>
      </c>
      <c r="H7" t="s">
        <v>35</v>
      </c>
      <c r="I7" t="s">
        <v>13</v>
      </c>
    </row>
    <row r="8" spans="1:9" x14ac:dyDescent="0.3">
      <c r="A8" t="s">
        <v>7</v>
      </c>
      <c r="B8" t="s">
        <v>5</v>
      </c>
      <c r="C8">
        <v>45.4</v>
      </c>
      <c r="D8">
        <v>14.6</v>
      </c>
      <c r="E8">
        <v>211</v>
      </c>
      <c r="F8">
        <v>4800</v>
      </c>
      <c r="G8" t="s">
        <v>11</v>
      </c>
      <c r="H8" t="s">
        <v>35</v>
      </c>
      <c r="I8" t="s">
        <v>13</v>
      </c>
    </row>
    <row r="9" spans="1:9" x14ac:dyDescent="0.3">
      <c r="A9" t="s">
        <v>7</v>
      </c>
      <c r="B9" t="s">
        <v>5</v>
      </c>
      <c r="C9">
        <v>46.7</v>
      </c>
      <c r="D9">
        <v>15.3</v>
      </c>
      <c r="E9">
        <v>219</v>
      </c>
      <c r="F9">
        <v>5200</v>
      </c>
      <c r="G9" t="s">
        <v>6</v>
      </c>
      <c r="H9" t="s">
        <v>36</v>
      </c>
      <c r="I9" t="s">
        <v>14</v>
      </c>
    </row>
    <row r="10" spans="1:9" x14ac:dyDescent="0.3">
      <c r="A10" t="s">
        <v>7</v>
      </c>
      <c r="B10" t="s">
        <v>5</v>
      </c>
      <c r="C10">
        <v>43.3</v>
      </c>
      <c r="D10">
        <v>13.4</v>
      </c>
      <c r="E10">
        <v>209</v>
      </c>
      <c r="F10">
        <v>4400</v>
      </c>
      <c r="G10" t="s">
        <v>11</v>
      </c>
      <c r="H10" t="s">
        <v>34</v>
      </c>
      <c r="I10" t="s">
        <v>13</v>
      </c>
    </row>
    <row r="11" spans="1:9" x14ac:dyDescent="0.3">
      <c r="A11" t="s">
        <v>7</v>
      </c>
      <c r="B11" t="s">
        <v>5</v>
      </c>
      <c r="C11">
        <v>46.8</v>
      </c>
      <c r="D11">
        <v>15.4</v>
      </c>
      <c r="E11">
        <v>215</v>
      </c>
      <c r="F11">
        <v>5150</v>
      </c>
      <c r="G11" t="s">
        <v>6</v>
      </c>
      <c r="H11" t="s">
        <v>36</v>
      </c>
      <c r="I11" t="s">
        <v>14</v>
      </c>
    </row>
    <row r="12" spans="1:9" x14ac:dyDescent="0.3">
      <c r="A12" t="s">
        <v>7</v>
      </c>
      <c r="B12" t="s">
        <v>5</v>
      </c>
      <c r="C12">
        <v>40.9</v>
      </c>
      <c r="D12">
        <v>13.7</v>
      </c>
      <c r="E12">
        <v>214</v>
      </c>
      <c r="F12">
        <v>4650</v>
      </c>
      <c r="G12" t="s">
        <v>11</v>
      </c>
      <c r="H12" t="s">
        <v>35</v>
      </c>
      <c r="I12" t="s">
        <v>13</v>
      </c>
    </row>
    <row r="13" spans="1:9" x14ac:dyDescent="0.3">
      <c r="A13" t="s">
        <v>7</v>
      </c>
      <c r="B13" t="s">
        <v>5</v>
      </c>
      <c r="C13">
        <v>49</v>
      </c>
      <c r="D13">
        <v>16.100000000000001</v>
      </c>
      <c r="E13">
        <v>216</v>
      </c>
      <c r="F13">
        <v>5550</v>
      </c>
      <c r="G13" t="s">
        <v>6</v>
      </c>
      <c r="H13" t="s">
        <v>36</v>
      </c>
      <c r="I13" t="s">
        <v>14</v>
      </c>
    </row>
    <row r="14" spans="1:9" x14ac:dyDescent="0.3">
      <c r="A14" t="s">
        <v>7</v>
      </c>
      <c r="B14" t="s">
        <v>5</v>
      </c>
      <c r="C14">
        <v>45.5</v>
      </c>
      <c r="D14">
        <v>13.7</v>
      </c>
      <c r="E14">
        <v>214</v>
      </c>
      <c r="F14">
        <v>4650</v>
      </c>
      <c r="G14" t="s">
        <v>11</v>
      </c>
      <c r="H14" t="s">
        <v>35</v>
      </c>
      <c r="I14" t="s">
        <v>13</v>
      </c>
    </row>
    <row r="15" spans="1:9" x14ac:dyDescent="0.3">
      <c r="A15" t="s">
        <v>7</v>
      </c>
      <c r="B15" t="s">
        <v>5</v>
      </c>
      <c r="C15">
        <v>48.4</v>
      </c>
      <c r="D15">
        <v>14.6</v>
      </c>
      <c r="E15">
        <v>213</v>
      </c>
      <c r="F15">
        <v>5850</v>
      </c>
      <c r="G15" t="s">
        <v>6</v>
      </c>
      <c r="H15" t="s">
        <v>35</v>
      </c>
      <c r="I15" t="s">
        <v>14</v>
      </c>
    </row>
    <row r="16" spans="1:9" x14ac:dyDescent="0.3">
      <c r="A16" t="s">
        <v>7</v>
      </c>
      <c r="B16" t="s">
        <v>5</v>
      </c>
      <c r="C16">
        <v>45.8</v>
      </c>
      <c r="D16">
        <v>14.6</v>
      </c>
      <c r="E16">
        <v>210</v>
      </c>
      <c r="F16">
        <v>4200</v>
      </c>
      <c r="G16" t="s">
        <v>11</v>
      </c>
      <c r="H16" t="s">
        <v>35</v>
      </c>
      <c r="I16" t="s">
        <v>13</v>
      </c>
    </row>
    <row r="17" spans="1:9" x14ac:dyDescent="0.3">
      <c r="A17" t="s">
        <v>7</v>
      </c>
      <c r="B17" t="s">
        <v>5</v>
      </c>
      <c r="C17">
        <v>49.3</v>
      </c>
      <c r="D17">
        <v>15.7</v>
      </c>
      <c r="E17">
        <v>217</v>
      </c>
      <c r="F17">
        <v>5850</v>
      </c>
      <c r="G17" t="s">
        <v>6</v>
      </c>
      <c r="H17" t="s">
        <v>36</v>
      </c>
      <c r="I17" t="s">
        <v>14</v>
      </c>
    </row>
    <row r="18" spans="1:9" x14ac:dyDescent="0.3">
      <c r="A18" t="s">
        <v>7</v>
      </c>
      <c r="B18" t="s">
        <v>5</v>
      </c>
      <c r="C18">
        <v>42</v>
      </c>
      <c r="D18">
        <v>13.5</v>
      </c>
      <c r="E18">
        <v>210</v>
      </c>
      <c r="F18">
        <v>4150</v>
      </c>
      <c r="G18" t="s">
        <v>11</v>
      </c>
      <c r="H18" t="s">
        <v>35</v>
      </c>
      <c r="I18" t="s">
        <v>13</v>
      </c>
    </row>
    <row r="19" spans="1:9" x14ac:dyDescent="0.3">
      <c r="A19" t="s">
        <v>7</v>
      </c>
      <c r="B19" t="s">
        <v>5</v>
      </c>
      <c r="C19">
        <v>49.2</v>
      </c>
      <c r="D19">
        <v>15.2</v>
      </c>
      <c r="E19">
        <v>221</v>
      </c>
      <c r="F19">
        <v>6300</v>
      </c>
      <c r="G19" t="s">
        <v>6</v>
      </c>
      <c r="H19" t="s">
        <v>37</v>
      </c>
      <c r="I19" t="s">
        <v>14</v>
      </c>
    </row>
    <row r="20" spans="1:9" x14ac:dyDescent="0.3">
      <c r="A20" t="s">
        <v>7</v>
      </c>
      <c r="B20" t="s">
        <v>5</v>
      </c>
      <c r="C20">
        <v>46.2</v>
      </c>
      <c r="D20">
        <v>14.5</v>
      </c>
      <c r="E20">
        <v>209</v>
      </c>
      <c r="F20">
        <v>4800</v>
      </c>
      <c r="G20" t="s">
        <v>11</v>
      </c>
      <c r="H20" t="s">
        <v>34</v>
      </c>
      <c r="I20" t="s">
        <v>13</v>
      </c>
    </row>
    <row r="21" spans="1:9" x14ac:dyDescent="0.3">
      <c r="A21" t="s">
        <v>7</v>
      </c>
      <c r="B21" t="s">
        <v>5</v>
      </c>
      <c r="C21">
        <v>48.7</v>
      </c>
      <c r="D21">
        <v>15.1</v>
      </c>
      <c r="E21">
        <v>222</v>
      </c>
      <c r="F21">
        <v>5350</v>
      </c>
      <c r="G21" t="s">
        <v>6</v>
      </c>
      <c r="H21" t="s">
        <v>37</v>
      </c>
      <c r="I21" t="s">
        <v>14</v>
      </c>
    </row>
    <row r="22" spans="1:9" x14ac:dyDescent="0.3">
      <c r="A22" t="s">
        <v>7</v>
      </c>
      <c r="B22" t="s">
        <v>5</v>
      </c>
      <c r="C22">
        <v>50.2</v>
      </c>
      <c r="D22">
        <v>14.3</v>
      </c>
      <c r="E22">
        <v>218</v>
      </c>
      <c r="F22">
        <v>5700</v>
      </c>
      <c r="G22" t="s">
        <v>6</v>
      </c>
      <c r="H22" t="s">
        <v>36</v>
      </c>
      <c r="I22" t="s">
        <v>14</v>
      </c>
    </row>
    <row r="23" spans="1:9" x14ac:dyDescent="0.3">
      <c r="A23" t="s">
        <v>7</v>
      </c>
      <c r="B23" t="s">
        <v>5</v>
      </c>
      <c r="C23">
        <v>45.1</v>
      </c>
      <c r="D23">
        <v>14.5</v>
      </c>
      <c r="E23">
        <v>215</v>
      </c>
      <c r="F23">
        <v>5000</v>
      </c>
      <c r="G23" t="s">
        <v>11</v>
      </c>
      <c r="H23" t="s">
        <v>36</v>
      </c>
      <c r="I23" t="s">
        <v>13</v>
      </c>
    </row>
    <row r="24" spans="1:9" x14ac:dyDescent="0.3">
      <c r="A24" t="s">
        <v>7</v>
      </c>
      <c r="B24" t="s">
        <v>5</v>
      </c>
      <c r="C24">
        <v>46.5</v>
      </c>
      <c r="D24">
        <v>14.5</v>
      </c>
      <c r="E24">
        <v>213</v>
      </c>
      <c r="F24">
        <v>4400</v>
      </c>
      <c r="G24" t="s">
        <v>11</v>
      </c>
      <c r="H24" t="s">
        <v>35</v>
      </c>
      <c r="I24" t="s">
        <v>13</v>
      </c>
    </row>
    <row r="25" spans="1:9" x14ac:dyDescent="0.3">
      <c r="A25" t="s">
        <v>7</v>
      </c>
      <c r="B25" t="s">
        <v>5</v>
      </c>
      <c r="C25">
        <v>46.3</v>
      </c>
      <c r="D25">
        <v>15.8</v>
      </c>
      <c r="E25">
        <v>215</v>
      </c>
      <c r="F25">
        <v>5050</v>
      </c>
      <c r="G25" t="s">
        <v>6</v>
      </c>
      <c r="H25" t="s">
        <v>36</v>
      </c>
      <c r="I25" t="s">
        <v>14</v>
      </c>
    </row>
    <row r="26" spans="1:9" x14ac:dyDescent="0.3">
      <c r="A26" t="s">
        <v>7</v>
      </c>
      <c r="B26" t="s">
        <v>5</v>
      </c>
      <c r="C26">
        <v>42.9</v>
      </c>
      <c r="D26">
        <v>13.1</v>
      </c>
      <c r="E26">
        <v>215</v>
      </c>
      <c r="F26">
        <v>5000</v>
      </c>
      <c r="G26" t="s">
        <v>11</v>
      </c>
      <c r="H26" t="s">
        <v>36</v>
      </c>
      <c r="I26" t="s">
        <v>13</v>
      </c>
    </row>
    <row r="27" spans="1:9" x14ac:dyDescent="0.3">
      <c r="A27" t="s">
        <v>7</v>
      </c>
      <c r="B27" t="s">
        <v>5</v>
      </c>
      <c r="C27">
        <v>46.1</v>
      </c>
      <c r="D27">
        <v>15.1</v>
      </c>
      <c r="E27">
        <v>215</v>
      </c>
      <c r="F27">
        <v>5100</v>
      </c>
      <c r="G27" t="s">
        <v>6</v>
      </c>
      <c r="H27" t="s">
        <v>36</v>
      </c>
      <c r="I27" t="s">
        <v>14</v>
      </c>
    </row>
    <row r="28" spans="1:9" x14ac:dyDescent="0.3">
      <c r="A28" t="s">
        <v>7</v>
      </c>
      <c r="B28" t="s">
        <v>5</v>
      </c>
      <c r="C28">
        <v>44.5</v>
      </c>
      <c r="D28">
        <v>14.3</v>
      </c>
      <c r="E28">
        <v>216</v>
      </c>
      <c r="F28">
        <v>4100</v>
      </c>
      <c r="G28" t="s">
        <v>11</v>
      </c>
      <c r="H28" t="s">
        <v>36</v>
      </c>
      <c r="I28" t="s">
        <v>13</v>
      </c>
    </row>
    <row r="29" spans="1:9" x14ac:dyDescent="0.3">
      <c r="A29" t="s">
        <v>7</v>
      </c>
      <c r="B29" t="s">
        <v>5</v>
      </c>
      <c r="C29">
        <v>47.8</v>
      </c>
      <c r="D29">
        <v>15</v>
      </c>
      <c r="E29">
        <v>215</v>
      </c>
      <c r="F29">
        <v>5650</v>
      </c>
      <c r="G29" t="s">
        <v>6</v>
      </c>
      <c r="H29" t="s">
        <v>36</v>
      </c>
      <c r="I29" t="s">
        <v>14</v>
      </c>
    </row>
    <row r="30" spans="1:9" x14ac:dyDescent="0.3">
      <c r="A30" t="s">
        <v>7</v>
      </c>
      <c r="B30" t="s">
        <v>5</v>
      </c>
      <c r="C30">
        <v>48.2</v>
      </c>
      <c r="D30">
        <v>14.3</v>
      </c>
      <c r="E30">
        <v>210</v>
      </c>
      <c r="F30">
        <v>4600</v>
      </c>
      <c r="G30" t="s">
        <v>11</v>
      </c>
      <c r="H30" t="s">
        <v>35</v>
      </c>
      <c r="I30" t="s">
        <v>13</v>
      </c>
    </row>
    <row r="31" spans="1:9" x14ac:dyDescent="0.3">
      <c r="A31" t="s">
        <v>7</v>
      </c>
      <c r="B31" t="s">
        <v>5</v>
      </c>
      <c r="C31">
        <v>50</v>
      </c>
      <c r="D31">
        <v>15.3</v>
      </c>
      <c r="E31">
        <v>220</v>
      </c>
      <c r="F31">
        <v>5550</v>
      </c>
      <c r="G31" t="s">
        <v>6</v>
      </c>
      <c r="H31" t="s">
        <v>37</v>
      </c>
      <c r="I31" t="s">
        <v>14</v>
      </c>
    </row>
    <row r="32" spans="1:9" x14ac:dyDescent="0.3">
      <c r="A32" t="s">
        <v>7</v>
      </c>
      <c r="B32" t="s">
        <v>5</v>
      </c>
      <c r="C32">
        <v>47.3</v>
      </c>
      <c r="D32">
        <v>15.3</v>
      </c>
      <c r="E32">
        <v>222</v>
      </c>
      <c r="F32">
        <v>5250</v>
      </c>
      <c r="G32" t="s">
        <v>6</v>
      </c>
      <c r="H32" t="s">
        <v>37</v>
      </c>
      <c r="I32" t="s">
        <v>14</v>
      </c>
    </row>
    <row r="33" spans="1:9" x14ac:dyDescent="0.3">
      <c r="A33" t="s">
        <v>7</v>
      </c>
      <c r="B33" t="s">
        <v>5</v>
      </c>
      <c r="C33">
        <v>42.8</v>
      </c>
      <c r="D33">
        <v>14.2</v>
      </c>
      <c r="E33">
        <v>209</v>
      </c>
      <c r="F33">
        <v>4700</v>
      </c>
      <c r="G33" t="s">
        <v>11</v>
      </c>
      <c r="H33" t="s">
        <v>34</v>
      </c>
      <c r="I33" t="s">
        <v>13</v>
      </c>
    </row>
    <row r="34" spans="1:9" x14ac:dyDescent="0.3">
      <c r="A34" t="s">
        <v>7</v>
      </c>
      <c r="B34" t="s">
        <v>5</v>
      </c>
      <c r="C34">
        <v>45.1</v>
      </c>
      <c r="D34">
        <v>14.5</v>
      </c>
      <c r="E34">
        <v>207</v>
      </c>
      <c r="F34">
        <v>5050</v>
      </c>
      <c r="G34" t="s">
        <v>11</v>
      </c>
      <c r="H34" t="s">
        <v>34</v>
      </c>
      <c r="I34" t="s">
        <v>14</v>
      </c>
    </row>
    <row r="35" spans="1:9" x14ac:dyDescent="0.3">
      <c r="A35" t="s">
        <v>7</v>
      </c>
      <c r="B35" t="s">
        <v>5</v>
      </c>
      <c r="C35">
        <v>59.6</v>
      </c>
      <c r="D35">
        <v>17</v>
      </c>
      <c r="E35">
        <v>230</v>
      </c>
      <c r="F35">
        <v>6050</v>
      </c>
      <c r="G35" t="s">
        <v>6</v>
      </c>
      <c r="H35" t="s">
        <v>40</v>
      </c>
      <c r="I35" t="s">
        <v>14</v>
      </c>
    </row>
    <row r="36" spans="1:9" x14ac:dyDescent="0.3">
      <c r="A36" t="s">
        <v>7</v>
      </c>
      <c r="B36" t="s">
        <v>5</v>
      </c>
      <c r="C36">
        <v>49.1</v>
      </c>
      <c r="D36">
        <v>14.8</v>
      </c>
      <c r="E36">
        <v>220</v>
      </c>
      <c r="F36">
        <v>5150</v>
      </c>
      <c r="G36" t="s">
        <v>11</v>
      </c>
      <c r="H36" t="s">
        <v>37</v>
      </c>
      <c r="I36" t="s">
        <v>14</v>
      </c>
    </row>
    <row r="37" spans="1:9" x14ac:dyDescent="0.3">
      <c r="A37" t="s">
        <v>7</v>
      </c>
      <c r="B37" t="s">
        <v>5</v>
      </c>
      <c r="C37">
        <v>48.4</v>
      </c>
      <c r="D37">
        <v>16.3</v>
      </c>
      <c r="E37">
        <v>220</v>
      </c>
      <c r="F37">
        <v>5400</v>
      </c>
      <c r="G37" t="s">
        <v>6</v>
      </c>
      <c r="H37" t="s">
        <v>37</v>
      </c>
      <c r="I37" t="s">
        <v>14</v>
      </c>
    </row>
    <row r="38" spans="1:9" x14ac:dyDescent="0.3">
      <c r="A38" t="s">
        <v>7</v>
      </c>
      <c r="B38" t="s">
        <v>5</v>
      </c>
      <c r="C38">
        <v>42.6</v>
      </c>
      <c r="D38">
        <v>13.7</v>
      </c>
      <c r="E38">
        <v>213</v>
      </c>
      <c r="F38">
        <v>4950</v>
      </c>
      <c r="G38" t="s">
        <v>11</v>
      </c>
      <c r="H38" t="s">
        <v>35</v>
      </c>
      <c r="I38" t="s">
        <v>13</v>
      </c>
    </row>
    <row r="39" spans="1:9" x14ac:dyDescent="0.3">
      <c r="A39" t="s">
        <v>7</v>
      </c>
      <c r="B39" t="s">
        <v>5</v>
      </c>
      <c r="C39">
        <v>44.4</v>
      </c>
      <c r="D39">
        <v>17.3</v>
      </c>
      <c r="E39">
        <v>219</v>
      </c>
      <c r="F39">
        <v>5250</v>
      </c>
      <c r="G39" t="s">
        <v>6</v>
      </c>
      <c r="H39" t="s">
        <v>36</v>
      </c>
      <c r="I39" t="s">
        <v>14</v>
      </c>
    </row>
    <row r="40" spans="1:9" x14ac:dyDescent="0.3">
      <c r="A40" t="s">
        <v>7</v>
      </c>
      <c r="B40" t="s">
        <v>5</v>
      </c>
      <c r="C40">
        <v>44</v>
      </c>
      <c r="D40">
        <v>13.6</v>
      </c>
      <c r="E40">
        <v>208</v>
      </c>
      <c r="F40">
        <v>4350</v>
      </c>
      <c r="G40" t="s">
        <v>11</v>
      </c>
      <c r="H40" t="s">
        <v>34</v>
      </c>
      <c r="I40" t="s">
        <v>13</v>
      </c>
    </row>
    <row r="41" spans="1:9" x14ac:dyDescent="0.3">
      <c r="A41" t="s">
        <v>7</v>
      </c>
      <c r="B41" t="s">
        <v>5</v>
      </c>
      <c r="C41">
        <v>48.7</v>
      </c>
      <c r="D41">
        <v>15.7</v>
      </c>
      <c r="E41">
        <v>208</v>
      </c>
      <c r="F41">
        <v>5350</v>
      </c>
      <c r="G41" t="s">
        <v>6</v>
      </c>
      <c r="H41" t="s">
        <v>34</v>
      </c>
      <c r="I41" t="s">
        <v>14</v>
      </c>
    </row>
    <row r="42" spans="1:9" x14ac:dyDescent="0.3">
      <c r="A42" t="s">
        <v>7</v>
      </c>
      <c r="B42" t="s">
        <v>5</v>
      </c>
      <c r="C42">
        <v>42.7</v>
      </c>
      <c r="D42">
        <v>13.7</v>
      </c>
      <c r="E42">
        <v>208</v>
      </c>
      <c r="F42">
        <v>3950</v>
      </c>
      <c r="G42" t="s">
        <v>11</v>
      </c>
      <c r="H42" t="s">
        <v>34</v>
      </c>
      <c r="I42" t="s">
        <v>13</v>
      </c>
    </row>
    <row r="43" spans="1:9" x14ac:dyDescent="0.3">
      <c r="A43" t="s">
        <v>7</v>
      </c>
      <c r="B43" t="s">
        <v>5</v>
      </c>
      <c r="C43">
        <v>49.6</v>
      </c>
      <c r="D43">
        <v>16</v>
      </c>
      <c r="E43">
        <v>225</v>
      </c>
      <c r="F43">
        <v>5700</v>
      </c>
      <c r="G43" t="s">
        <v>6</v>
      </c>
      <c r="H43" t="s">
        <v>38</v>
      </c>
      <c r="I43" t="s">
        <v>14</v>
      </c>
    </row>
    <row r="44" spans="1:9" x14ac:dyDescent="0.3">
      <c r="A44" t="s">
        <v>7</v>
      </c>
      <c r="B44" t="s">
        <v>5</v>
      </c>
      <c r="C44">
        <v>45.3</v>
      </c>
      <c r="D44">
        <v>13.7</v>
      </c>
      <c r="E44">
        <v>210</v>
      </c>
      <c r="F44">
        <v>4300</v>
      </c>
      <c r="G44" t="s">
        <v>11</v>
      </c>
      <c r="H44" t="s">
        <v>35</v>
      </c>
      <c r="I44" t="s">
        <v>13</v>
      </c>
    </row>
    <row r="45" spans="1:9" x14ac:dyDescent="0.3">
      <c r="A45" t="s">
        <v>7</v>
      </c>
      <c r="B45" t="s">
        <v>5</v>
      </c>
      <c r="C45">
        <v>49.6</v>
      </c>
      <c r="D45">
        <v>15</v>
      </c>
      <c r="E45">
        <v>216</v>
      </c>
      <c r="F45">
        <v>4750</v>
      </c>
      <c r="G45" t="s">
        <v>6</v>
      </c>
      <c r="H45" t="s">
        <v>36</v>
      </c>
      <c r="I45" t="s">
        <v>13</v>
      </c>
    </row>
    <row r="46" spans="1:9" x14ac:dyDescent="0.3">
      <c r="A46" t="s">
        <v>7</v>
      </c>
      <c r="B46" t="s">
        <v>5</v>
      </c>
      <c r="C46">
        <v>50.5</v>
      </c>
      <c r="D46">
        <v>15.9</v>
      </c>
      <c r="E46">
        <v>222</v>
      </c>
      <c r="F46">
        <v>5550</v>
      </c>
      <c r="G46" t="s">
        <v>6</v>
      </c>
      <c r="H46" t="s">
        <v>37</v>
      </c>
      <c r="I46" t="s">
        <v>14</v>
      </c>
    </row>
    <row r="47" spans="1:9" x14ac:dyDescent="0.3">
      <c r="A47" t="s">
        <v>7</v>
      </c>
      <c r="B47" t="s">
        <v>5</v>
      </c>
      <c r="C47">
        <v>43.6</v>
      </c>
      <c r="D47">
        <v>13.9</v>
      </c>
      <c r="E47">
        <v>217</v>
      </c>
      <c r="F47">
        <v>4900</v>
      </c>
      <c r="G47" t="s">
        <v>11</v>
      </c>
      <c r="H47" t="s">
        <v>36</v>
      </c>
      <c r="I47" t="s">
        <v>13</v>
      </c>
    </row>
    <row r="48" spans="1:9" x14ac:dyDescent="0.3">
      <c r="A48" t="s">
        <v>7</v>
      </c>
      <c r="B48" t="s">
        <v>5</v>
      </c>
      <c r="C48">
        <v>45.5</v>
      </c>
      <c r="D48">
        <v>13.9</v>
      </c>
      <c r="E48">
        <v>210</v>
      </c>
      <c r="F48">
        <v>4200</v>
      </c>
      <c r="G48" t="s">
        <v>11</v>
      </c>
      <c r="H48" t="s">
        <v>35</v>
      </c>
      <c r="I48" t="s">
        <v>13</v>
      </c>
    </row>
    <row r="49" spans="1:9" x14ac:dyDescent="0.3">
      <c r="A49" t="s">
        <v>7</v>
      </c>
      <c r="B49" t="s">
        <v>5</v>
      </c>
      <c r="C49">
        <v>50.5</v>
      </c>
      <c r="D49">
        <v>15.9</v>
      </c>
      <c r="E49">
        <v>225</v>
      </c>
      <c r="F49">
        <v>5400</v>
      </c>
      <c r="G49" t="s">
        <v>6</v>
      </c>
      <c r="H49" t="s">
        <v>38</v>
      </c>
      <c r="I49" t="s">
        <v>14</v>
      </c>
    </row>
    <row r="50" spans="1:9" x14ac:dyDescent="0.3">
      <c r="A50" t="s">
        <v>7</v>
      </c>
      <c r="B50" t="s">
        <v>5</v>
      </c>
      <c r="C50">
        <v>44.9</v>
      </c>
      <c r="D50">
        <v>13.3</v>
      </c>
      <c r="E50">
        <v>213</v>
      </c>
      <c r="F50">
        <v>5100</v>
      </c>
      <c r="G50" t="s">
        <v>11</v>
      </c>
      <c r="H50" t="s">
        <v>35</v>
      </c>
      <c r="I50" t="s">
        <v>14</v>
      </c>
    </row>
    <row r="51" spans="1:9" x14ac:dyDescent="0.3">
      <c r="A51" t="s">
        <v>7</v>
      </c>
      <c r="B51" t="s">
        <v>5</v>
      </c>
      <c r="C51">
        <v>45.2</v>
      </c>
      <c r="D51">
        <v>15.8</v>
      </c>
      <c r="E51">
        <v>215</v>
      </c>
      <c r="F51">
        <v>5300</v>
      </c>
      <c r="G51" t="s">
        <v>6</v>
      </c>
      <c r="H51" t="s">
        <v>36</v>
      </c>
      <c r="I51" t="s">
        <v>14</v>
      </c>
    </row>
    <row r="52" spans="1:9" x14ac:dyDescent="0.3">
      <c r="A52" t="s">
        <v>7</v>
      </c>
      <c r="B52" t="s">
        <v>5</v>
      </c>
      <c r="C52">
        <v>46.6</v>
      </c>
      <c r="D52">
        <v>14.2</v>
      </c>
      <c r="E52">
        <v>210</v>
      </c>
      <c r="F52">
        <v>4850</v>
      </c>
      <c r="G52" t="s">
        <v>11</v>
      </c>
      <c r="H52" t="s">
        <v>35</v>
      </c>
      <c r="I52" t="s">
        <v>13</v>
      </c>
    </row>
    <row r="53" spans="1:9" x14ac:dyDescent="0.3">
      <c r="A53" t="s">
        <v>7</v>
      </c>
      <c r="B53" t="s">
        <v>5</v>
      </c>
      <c r="C53">
        <v>48.5</v>
      </c>
      <c r="D53">
        <v>14.1</v>
      </c>
      <c r="E53">
        <v>220</v>
      </c>
      <c r="F53">
        <v>5300</v>
      </c>
      <c r="G53" t="s">
        <v>6</v>
      </c>
      <c r="H53" t="s">
        <v>37</v>
      </c>
      <c r="I53" t="s">
        <v>14</v>
      </c>
    </row>
    <row r="54" spans="1:9" x14ac:dyDescent="0.3">
      <c r="A54" t="s">
        <v>7</v>
      </c>
      <c r="B54" t="s">
        <v>5</v>
      </c>
      <c r="C54">
        <v>45.1</v>
      </c>
      <c r="D54">
        <v>14.4</v>
      </c>
      <c r="E54">
        <v>210</v>
      </c>
      <c r="F54">
        <v>4400</v>
      </c>
      <c r="G54" t="s">
        <v>11</v>
      </c>
      <c r="H54" t="s">
        <v>35</v>
      </c>
      <c r="I54" t="s">
        <v>13</v>
      </c>
    </row>
    <row r="55" spans="1:9" x14ac:dyDescent="0.3">
      <c r="A55" t="s">
        <v>7</v>
      </c>
      <c r="B55" t="s">
        <v>5</v>
      </c>
      <c r="C55">
        <v>50.1</v>
      </c>
      <c r="D55">
        <v>15</v>
      </c>
      <c r="E55">
        <v>225</v>
      </c>
      <c r="F55">
        <v>5000</v>
      </c>
      <c r="G55" t="s">
        <v>6</v>
      </c>
      <c r="H55" t="s">
        <v>38</v>
      </c>
      <c r="I55" t="s">
        <v>13</v>
      </c>
    </row>
    <row r="56" spans="1:9" x14ac:dyDescent="0.3">
      <c r="A56" t="s">
        <v>7</v>
      </c>
      <c r="B56" t="s">
        <v>5</v>
      </c>
      <c r="C56">
        <v>46.5</v>
      </c>
      <c r="D56">
        <v>14.4</v>
      </c>
      <c r="E56">
        <v>217</v>
      </c>
      <c r="F56">
        <v>4900</v>
      </c>
      <c r="G56" t="s">
        <v>11</v>
      </c>
      <c r="H56" t="s">
        <v>36</v>
      </c>
      <c r="I56" t="s">
        <v>13</v>
      </c>
    </row>
    <row r="57" spans="1:9" x14ac:dyDescent="0.3">
      <c r="A57" t="s">
        <v>7</v>
      </c>
      <c r="B57" t="s">
        <v>5</v>
      </c>
      <c r="C57">
        <v>45</v>
      </c>
      <c r="D57">
        <v>15.4</v>
      </c>
      <c r="E57">
        <v>220</v>
      </c>
      <c r="F57">
        <v>5050</v>
      </c>
      <c r="G57" t="s">
        <v>6</v>
      </c>
      <c r="H57" t="s">
        <v>37</v>
      </c>
      <c r="I57" t="s">
        <v>14</v>
      </c>
    </row>
    <row r="58" spans="1:9" x14ac:dyDescent="0.3">
      <c r="A58" t="s">
        <v>7</v>
      </c>
      <c r="B58" t="s">
        <v>5</v>
      </c>
      <c r="C58">
        <v>43.8</v>
      </c>
      <c r="D58">
        <v>13.9</v>
      </c>
      <c r="E58">
        <v>208</v>
      </c>
      <c r="F58">
        <v>4300</v>
      </c>
      <c r="G58" t="s">
        <v>11</v>
      </c>
      <c r="H58" t="s">
        <v>34</v>
      </c>
      <c r="I58" t="s">
        <v>13</v>
      </c>
    </row>
    <row r="59" spans="1:9" x14ac:dyDescent="0.3">
      <c r="A59" t="s">
        <v>7</v>
      </c>
      <c r="B59" t="s">
        <v>5</v>
      </c>
      <c r="C59">
        <v>45.5</v>
      </c>
      <c r="D59">
        <v>15</v>
      </c>
      <c r="E59">
        <v>220</v>
      </c>
      <c r="F59">
        <v>5000</v>
      </c>
      <c r="G59" t="s">
        <v>6</v>
      </c>
      <c r="H59" t="s">
        <v>37</v>
      </c>
      <c r="I59" t="s">
        <v>13</v>
      </c>
    </row>
    <row r="60" spans="1:9" x14ac:dyDescent="0.3">
      <c r="A60" t="s">
        <v>7</v>
      </c>
      <c r="B60" t="s">
        <v>5</v>
      </c>
      <c r="C60">
        <v>43.2</v>
      </c>
      <c r="D60">
        <v>14.5</v>
      </c>
      <c r="E60">
        <v>208</v>
      </c>
      <c r="F60">
        <v>4450</v>
      </c>
      <c r="G60" t="s">
        <v>11</v>
      </c>
      <c r="H60" t="s">
        <v>34</v>
      </c>
      <c r="I60" t="s">
        <v>13</v>
      </c>
    </row>
    <row r="61" spans="1:9" x14ac:dyDescent="0.3">
      <c r="A61" t="s">
        <v>7</v>
      </c>
      <c r="B61" t="s">
        <v>5</v>
      </c>
      <c r="C61">
        <v>50.4</v>
      </c>
      <c r="D61">
        <v>15.3</v>
      </c>
      <c r="E61">
        <v>224</v>
      </c>
      <c r="F61">
        <v>5550</v>
      </c>
      <c r="G61" t="s">
        <v>6</v>
      </c>
      <c r="H61" t="s">
        <v>37</v>
      </c>
      <c r="I61" t="s">
        <v>14</v>
      </c>
    </row>
    <row r="62" spans="1:9" x14ac:dyDescent="0.3">
      <c r="A62" t="s">
        <v>7</v>
      </c>
      <c r="B62" t="s">
        <v>5</v>
      </c>
      <c r="C62">
        <v>45.3</v>
      </c>
      <c r="D62">
        <v>13.8</v>
      </c>
      <c r="E62">
        <v>208</v>
      </c>
      <c r="F62">
        <v>4200</v>
      </c>
      <c r="G62" t="s">
        <v>11</v>
      </c>
      <c r="H62" t="s">
        <v>34</v>
      </c>
      <c r="I62" t="s">
        <v>13</v>
      </c>
    </row>
    <row r="63" spans="1:9" x14ac:dyDescent="0.3">
      <c r="A63" t="s">
        <v>7</v>
      </c>
      <c r="B63" t="s">
        <v>5</v>
      </c>
      <c r="C63">
        <v>46.2</v>
      </c>
      <c r="D63">
        <v>14.9</v>
      </c>
      <c r="E63">
        <v>221</v>
      </c>
      <c r="F63">
        <v>5300</v>
      </c>
      <c r="G63" t="s">
        <v>6</v>
      </c>
      <c r="H63" t="s">
        <v>37</v>
      </c>
      <c r="I63" t="s">
        <v>14</v>
      </c>
    </row>
    <row r="64" spans="1:9" x14ac:dyDescent="0.3">
      <c r="A64" t="s">
        <v>7</v>
      </c>
      <c r="B64" t="s">
        <v>5</v>
      </c>
      <c r="C64">
        <v>45.7</v>
      </c>
      <c r="D64">
        <v>13.9</v>
      </c>
      <c r="E64">
        <v>214</v>
      </c>
      <c r="F64">
        <v>4400</v>
      </c>
      <c r="G64" t="s">
        <v>11</v>
      </c>
      <c r="H64" t="s">
        <v>35</v>
      </c>
      <c r="I64" t="s">
        <v>13</v>
      </c>
    </row>
    <row r="65" spans="1:9" x14ac:dyDescent="0.3">
      <c r="A65" t="s">
        <v>7</v>
      </c>
      <c r="B65" t="s">
        <v>5</v>
      </c>
      <c r="C65">
        <v>54.3</v>
      </c>
      <c r="D65">
        <v>15.7</v>
      </c>
      <c r="E65">
        <v>231</v>
      </c>
      <c r="F65">
        <v>5650</v>
      </c>
      <c r="G65" t="s">
        <v>6</v>
      </c>
      <c r="H65" t="s">
        <v>40</v>
      </c>
      <c r="I65" t="s">
        <v>14</v>
      </c>
    </row>
    <row r="66" spans="1:9" x14ac:dyDescent="0.3">
      <c r="A66" t="s">
        <v>7</v>
      </c>
      <c r="B66" t="s">
        <v>5</v>
      </c>
      <c r="C66">
        <v>45.8</v>
      </c>
      <c r="D66">
        <v>14.2</v>
      </c>
      <c r="E66">
        <v>219</v>
      </c>
      <c r="F66">
        <v>4700</v>
      </c>
      <c r="G66" t="s">
        <v>11</v>
      </c>
      <c r="H66" t="s">
        <v>36</v>
      </c>
      <c r="I66" t="s">
        <v>13</v>
      </c>
    </row>
    <row r="67" spans="1:9" x14ac:dyDescent="0.3">
      <c r="A67" t="s">
        <v>7</v>
      </c>
      <c r="B67" t="s">
        <v>5</v>
      </c>
      <c r="C67">
        <v>49.8</v>
      </c>
      <c r="D67">
        <v>16.8</v>
      </c>
      <c r="E67">
        <v>230</v>
      </c>
      <c r="F67">
        <v>5700</v>
      </c>
      <c r="G67" t="s">
        <v>6</v>
      </c>
      <c r="H67" t="s">
        <v>40</v>
      </c>
      <c r="I67" t="s">
        <v>14</v>
      </c>
    </row>
    <row r="68" spans="1:9" x14ac:dyDescent="0.3">
      <c r="A68" t="s">
        <v>7</v>
      </c>
      <c r="B68" t="s">
        <v>5</v>
      </c>
      <c r="C68">
        <v>46.2</v>
      </c>
      <c r="D68">
        <v>14.4</v>
      </c>
      <c r="E68">
        <v>214</v>
      </c>
      <c r="F68">
        <v>4650</v>
      </c>
      <c r="G68" t="s">
        <v>11</v>
      </c>
      <c r="H68" t="s">
        <v>35</v>
      </c>
      <c r="I68" t="s">
        <v>13</v>
      </c>
    </row>
    <row r="69" spans="1:9" x14ac:dyDescent="0.3">
      <c r="A69" t="s">
        <v>7</v>
      </c>
      <c r="B69" t="s">
        <v>5</v>
      </c>
      <c r="C69">
        <v>49.5</v>
      </c>
      <c r="D69">
        <v>16.2</v>
      </c>
      <c r="E69">
        <v>229</v>
      </c>
      <c r="F69">
        <v>5800</v>
      </c>
      <c r="G69" t="s">
        <v>6</v>
      </c>
      <c r="H69" t="s">
        <v>38</v>
      </c>
      <c r="I69" t="s">
        <v>14</v>
      </c>
    </row>
    <row r="70" spans="1:9" x14ac:dyDescent="0.3">
      <c r="A70" t="s">
        <v>7</v>
      </c>
      <c r="B70" t="s">
        <v>5</v>
      </c>
      <c r="C70">
        <v>43.5</v>
      </c>
      <c r="D70">
        <v>14.2</v>
      </c>
      <c r="E70">
        <v>220</v>
      </c>
      <c r="F70">
        <v>4700</v>
      </c>
      <c r="G70" t="s">
        <v>11</v>
      </c>
      <c r="H70" t="s">
        <v>37</v>
      </c>
      <c r="I70" t="s">
        <v>13</v>
      </c>
    </row>
    <row r="71" spans="1:9" x14ac:dyDescent="0.3">
      <c r="A71" t="s">
        <v>7</v>
      </c>
      <c r="B71" t="s">
        <v>5</v>
      </c>
      <c r="C71">
        <v>50.7</v>
      </c>
      <c r="D71">
        <v>15</v>
      </c>
      <c r="E71">
        <v>223</v>
      </c>
      <c r="F71">
        <v>5550</v>
      </c>
      <c r="G71" t="s">
        <v>6</v>
      </c>
      <c r="H71" t="s">
        <v>37</v>
      </c>
      <c r="I71" t="s">
        <v>14</v>
      </c>
    </row>
    <row r="72" spans="1:9" x14ac:dyDescent="0.3">
      <c r="A72" t="s">
        <v>7</v>
      </c>
      <c r="B72" t="s">
        <v>5</v>
      </c>
      <c r="C72">
        <v>47.7</v>
      </c>
      <c r="D72">
        <v>15</v>
      </c>
      <c r="E72">
        <v>216</v>
      </c>
      <c r="F72">
        <v>4750</v>
      </c>
      <c r="G72" t="s">
        <v>11</v>
      </c>
      <c r="H72" t="s">
        <v>36</v>
      </c>
      <c r="I72" t="s">
        <v>13</v>
      </c>
    </row>
    <row r="73" spans="1:9" x14ac:dyDescent="0.3">
      <c r="A73" t="s">
        <v>7</v>
      </c>
      <c r="B73" t="s">
        <v>5</v>
      </c>
      <c r="C73">
        <v>46.4</v>
      </c>
      <c r="D73">
        <v>15.6</v>
      </c>
      <c r="E73">
        <v>221</v>
      </c>
      <c r="F73">
        <v>5000</v>
      </c>
      <c r="G73" t="s">
        <v>6</v>
      </c>
      <c r="H73" t="s">
        <v>37</v>
      </c>
      <c r="I73" t="s">
        <v>13</v>
      </c>
    </row>
    <row r="74" spans="1:9" x14ac:dyDescent="0.3">
      <c r="A74" t="s">
        <v>7</v>
      </c>
      <c r="B74" t="s">
        <v>5</v>
      </c>
      <c r="C74">
        <v>48.2</v>
      </c>
      <c r="D74">
        <v>15.6</v>
      </c>
      <c r="E74">
        <v>221</v>
      </c>
      <c r="F74">
        <v>5100</v>
      </c>
      <c r="G74" t="s">
        <v>6</v>
      </c>
      <c r="H74" t="s">
        <v>37</v>
      </c>
      <c r="I74" t="s">
        <v>14</v>
      </c>
    </row>
    <row r="75" spans="1:9" x14ac:dyDescent="0.3">
      <c r="A75" t="s">
        <v>7</v>
      </c>
      <c r="B75" t="s">
        <v>5</v>
      </c>
      <c r="C75">
        <v>46.5</v>
      </c>
      <c r="D75">
        <v>14.8</v>
      </c>
      <c r="E75">
        <v>217</v>
      </c>
      <c r="F75">
        <v>5200</v>
      </c>
      <c r="G75" t="s">
        <v>11</v>
      </c>
      <c r="H75" t="s">
        <v>36</v>
      </c>
      <c r="I75" t="s">
        <v>14</v>
      </c>
    </row>
    <row r="76" spans="1:9" x14ac:dyDescent="0.3">
      <c r="A76" t="s">
        <v>7</v>
      </c>
      <c r="B76" t="s">
        <v>5</v>
      </c>
      <c r="C76">
        <v>46.4</v>
      </c>
      <c r="D76">
        <v>15</v>
      </c>
      <c r="E76">
        <v>216</v>
      </c>
      <c r="F76">
        <v>4700</v>
      </c>
      <c r="G76" t="s">
        <v>11</v>
      </c>
      <c r="H76" t="s">
        <v>36</v>
      </c>
      <c r="I76" t="s">
        <v>13</v>
      </c>
    </row>
    <row r="77" spans="1:9" x14ac:dyDescent="0.3">
      <c r="A77" t="s">
        <v>7</v>
      </c>
      <c r="B77" t="s">
        <v>5</v>
      </c>
      <c r="C77">
        <v>48.6</v>
      </c>
      <c r="D77">
        <v>16</v>
      </c>
      <c r="E77">
        <v>230</v>
      </c>
      <c r="F77">
        <v>5800</v>
      </c>
      <c r="G77" t="s">
        <v>6</v>
      </c>
      <c r="H77" t="s">
        <v>40</v>
      </c>
      <c r="I77" t="s">
        <v>14</v>
      </c>
    </row>
    <row r="78" spans="1:9" x14ac:dyDescent="0.3">
      <c r="A78" t="s">
        <v>7</v>
      </c>
      <c r="B78" t="s">
        <v>5</v>
      </c>
      <c r="C78">
        <v>47.5</v>
      </c>
      <c r="D78">
        <v>14.2</v>
      </c>
      <c r="E78">
        <v>209</v>
      </c>
      <c r="F78">
        <v>4600</v>
      </c>
      <c r="G78" t="s">
        <v>11</v>
      </c>
      <c r="H78" t="s">
        <v>34</v>
      </c>
      <c r="I78" t="s">
        <v>13</v>
      </c>
    </row>
    <row r="79" spans="1:9" x14ac:dyDescent="0.3">
      <c r="A79" t="s">
        <v>7</v>
      </c>
      <c r="B79" t="s">
        <v>5</v>
      </c>
      <c r="C79">
        <v>51.1</v>
      </c>
      <c r="D79">
        <v>16.3</v>
      </c>
      <c r="E79">
        <v>220</v>
      </c>
      <c r="F79">
        <v>6000</v>
      </c>
      <c r="G79" t="s">
        <v>6</v>
      </c>
      <c r="H79" t="s">
        <v>37</v>
      </c>
      <c r="I79" t="s">
        <v>14</v>
      </c>
    </row>
    <row r="80" spans="1:9" x14ac:dyDescent="0.3">
      <c r="A80" t="s">
        <v>7</v>
      </c>
      <c r="B80" t="s">
        <v>5</v>
      </c>
      <c r="C80">
        <v>45.2</v>
      </c>
      <c r="D80">
        <v>13.8</v>
      </c>
      <c r="E80">
        <v>215</v>
      </c>
      <c r="F80">
        <v>4750</v>
      </c>
      <c r="G80" t="s">
        <v>11</v>
      </c>
      <c r="H80" t="s">
        <v>36</v>
      </c>
      <c r="I80" t="s">
        <v>13</v>
      </c>
    </row>
    <row r="81" spans="1:9" x14ac:dyDescent="0.3">
      <c r="A81" t="s">
        <v>7</v>
      </c>
      <c r="B81" t="s">
        <v>5</v>
      </c>
      <c r="C81">
        <v>45.2</v>
      </c>
      <c r="D81">
        <v>16.399999999999999</v>
      </c>
      <c r="E81">
        <v>223</v>
      </c>
      <c r="F81">
        <v>5950</v>
      </c>
      <c r="G81" t="s">
        <v>6</v>
      </c>
      <c r="H81" t="s">
        <v>37</v>
      </c>
      <c r="I81" t="s">
        <v>14</v>
      </c>
    </row>
    <row r="82" spans="1:9" x14ac:dyDescent="0.3">
      <c r="A82" t="s">
        <v>7</v>
      </c>
      <c r="B82" t="s">
        <v>5</v>
      </c>
      <c r="C82">
        <v>49.1</v>
      </c>
      <c r="D82">
        <v>14.5</v>
      </c>
      <c r="E82">
        <v>212</v>
      </c>
      <c r="F82">
        <v>4625</v>
      </c>
      <c r="G82" t="s">
        <v>11</v>
      </c>
      <c r="H82" t="s">
        <v>35</v>
      </c>
      <c r="I82" t="s">
        <v>13</v>
      </c>
    </row>
    <row r="83" spans="1:9" x14ac:dyDescent="0.3">
      <c r="A83" t="s">
        <v>7</v>
      </c>
      <c r="B83" t="s">
        <v>5</v>
      </c>
      <c r="C83">
        <v>52.5</v>
      </c>
      <c r="D83">
        <v>15.6</v>
      </c>
      <c r="E83">
        <v>221</v>
      </c>
      <c r="F83">
        <v>5450</v>
      </c>
      <c r="G83" t="s">
        <v>6</v>
      </c>
      <c r="H83" t="s">
        <v>37</v>
      </c>
      <c r="I83" t="s">
        <v>14</v>
      </c>
    </row>
    <row r="84" spans="1:9" x14ac:dyDescent="0.3">
      <c r="A84" t="s">
        <v>7</v>
      </c>
      <c r="B84" t="s">
        <v>5</v>
      </c>
      <c r="C84">
        <v>47.4</v>
      </c>
      <c r="D84">
        <v>14.6</v>
      </c>
      <c r="E84">
        <v>212</v>
      </c>
      <c r="F84">
        <v>4725</v>
      </c>
      <c r="G84" t="s">
        <v>11</v>
      </c>
      <c r="H84" t="s">
        <v>35</v>
      </c>
      <c r="I84" t="s">
        <v>13</v>
      </c>
    </row>
    <row r="85" spans="1:9" x14ac:dyDescent="0.3">
      <c r="A85" t="s">
        <v>7</v>
      </c>
      <c r="B85" t="s">
        <v>5</v>
      </c>
      <c r="C85">
        <v>50</v>
      </c>
      <c r="D85">
        <v>15.9</v>
      </c>
      <c r="E85">
        <v>224</v>
      </c>
      <c r="F85">
        <v>5350</v>
      </c>
      <c r="G85" t="s">
        <v>6</v>
      </c>
      <c r="H85" t="s">
        <v>37</v>
      </c>
      <c r="I85" t="s">
        <v>14</v>
      </c>
    </row>
    <row r="86" spans="1:9" x14ac:dyDescent="0.3">
      <c r="A86" t="s">
        <v>7</v>
      </c>
      <c r="B86" t="s">
        <v>5</v>
      </c>
      <c r="C86">
        <v>44.9</v>
      </c>
      <c r="D86">
        <v>13.8</v>
      </c>
      <c r="E86">
        <v>212</v>
      </c>
      <c r="F86">
        <v>4750</v>
      </c>
      <c r="G86" t="s">
        <v>11</v>
      </c>
      <c r="H86" t="s">
        <v>35</v>
      </c>
      <c r="I86" t="s">
        <v>13</v>
      </c>
    </row>
    <row r="87" spans="1:9" x14ac:dyDescent="0.3">
      <c r="A87" t="s">
        <v>7</v>
      </c>
      <c r="B87" t="s">
        <v>5</v>
      </c>
      <c r="C87">
        <v>50.8</v>
      </c>
      <c r="D87">
        <v>17.3</v>
      </c>
      <c r="E87">
        <v>228</v>
      </c>
      <c r="F87">
        <v>5600</v>
      </c>
      <c r="G87" t="s">
        <v>6</v>
      </c>
      <c r="H87" t="s">
        <v>38</v>
      </c>
      <c r="I87" t="s">
        <v>14</v>
      </c>
    </row>
    <row r="88" spans="1:9" x14ac:dyDescent="0.3">
      <c r="A88" t="s">
        <v>7</v>
      </c>
      <c r="B88" t="s">
        <v>5</v>
      </c>
      <c r="C88">
        <v>43.4</v>
      </c>
      <c r="D88">
        <v>14.4</v>
      </c>
      <c r="E88">
        <v>218</v>
      </c>
      <c r="F88">
        <v>4600</v>
      </c>
      <c r="G88" t="s">
        <v>11</v>
      </c>
      <c r="H88" t="s">
        <v>36</v>
      </c>
      <c r="I88" t="s">
        <v>13</v>
      </c>
    </row>
    <row r="89" spans="1:9" x14ac:dyDescent="0.3">
      <c r="A89" t="s">
        <v>7</v>
      </c>
      <c r="B89" t="s">
        <v>5</v>
      </c>
      <c r="C89">
        <v>51.3</v>
      </c>
      <c r="D89">
        <v>14.2</v>
      </c>
      <c r="E89">
        <v>218</v>
      </c>
      <c r="F89">
        <v>5300</v>
      </c>
      <c r="G89" t="s">
        <v>6</v>
      </c>
      <c r="H89" t="s">
        <v>36</v>
      </c>
      <c r="I89" t="s">
        <v>14</v>
      </c>
    </row>
    <row r="90" spans="1:9" x14ac:dyDescent="0.3">
      <c r="A90" t="s">
        <v>7</v>
      </c>
      <c r="B90" t="s">
        <v>5</v>
      </c>
      <c r="C90">
        <v>47.5</v>
      </c>
      <c r="D90">
        <v>14</v>
      </c>
      <c r="E90">
        <v>212</v>
      </c>
      <c r="F90">
        <v>4875</v>
      </c>
      <c r="G90" t="s">
        <v>11</v>
      </c>
      <c r="H90" t="s">
        <v>35</v>
      </c>
      <c r="I90" t="s">
        <v>13</v>
      </c>
    </row>
    <row r="91" spans="1:9" x14ac:dyDescent="0.3">
      <c r="A91" t="s">
        <v>7</v>
      </c>
      <c r="B91" t="s">
        <v>5</v>
      </c>
      <c r="C91">
        <v>52.1</v>
      </c>
      <c r="D91">
        <v>17</v>
      </c>
      <c r="E91">
        <v>230</v>
      </c>
      <c r="F91">
        <v>5550</v>
      </c>
      <c r="G91" t="s">
        <v>6</v>
      </c>
      <c r="H91" t="s">
        <v>40</v>
      </c>
      <c r="I91" t="s">
        <v>14</v>
      </c>
    </row>
    <row r="92" spans="1:9" x14ac:dyDescent="0.3">
      <c r="A92" t="s">
        <v>7</v>
      </c>
      <c r="B92" t="s">
        <v>5</v>
      </c>
      <c r="C92">
        <v>47.5</v>
      </c>
      <c r="D92">
        <v>15</v>
      </c>
      <c r="E92">
        <v>218</v>
      </c>
      <c r="F92">
        <v>4950</v>
      </c>
      <c r="G92" t="s">
        <v>11</v>
      </c>
      <c r="H92" t="s">
        <v>36</v>
      </c>
      <c r="I92" t="s">
        <v>13</v>
      </c>
    </row>
    <row r="93" spans="1:9" x14ac:dyDescent="0.3">
      <c r="A93" t="s">
        <v>7</v>
      </c>
      <c r="B93" t="s">
        <v>5</v>
      </c>
      <c r="C93">
        <v>52.2</v>
      </c>
      <c r="D93">
        <v>17.100000000000001</v>
      </c>
      <c r="E93">
        <v>228</v>
      </c>
      <c r="F93">
        <v>5400</v>
      </c>
      <c r="G93" t="s">
        <v>6</v>
      </c>
      <c r="H93" t="s">
        <v>38</v>
      </c>
      <c r="I93" t="s">
        <v>14</v>
      </c>
    </row>
    <row r="94" spans="1:9" x14ac:dyDescent="0.3">
      <c r="A94" t="s">
        <v>7</v>
      </c>
      <c r="B94" t="s">
        <v>5</v>
      </c>
      <c r="C94">
        <v>45.5</v>
      </c>
      <c r="D94">
        <v>14.5</v>
      </c>
      <c r="E94">
        <v>212</v>
      </c>
      <c r="F94">
        <v>4750</v>
      </c>
      <c r="G94" t="s">
        <v>11</v>
      </c>
      <c r="H94" t="s">
        <v>35</v>
      </c>
      <c r="I94" t="s">
        <v>13</v>
      </c>
    </row>
    <row r="95" spans="1:9" x14ac:dyDescent="0.3">
      <c r="A95" t="s">
        <v>7</v>
      </c>
      <c r="B95" t="s">
        <v>5</v>
      </c>
      <c r="C95">
        <v>49.5</v>
      </c>
      <c r="D95">
        <v>16.100000000000001</v>
      </c>
      <c r="E95">
        <v>224</v>
      </c>
      <c r="F95">
        <v>5650</v>
      </c>
      <c r="G95" t="s">
        <v>6</v>
      </c>
      <c r="H95" t="s">
        <v>37</v>
      </c>
      <c r="I95" t="s">
        <v>14</v>
      </c>
    </row>
    <row r="96" spans="1:9" x14ac:dyDescent="0.3">
      <c r="A96" t="s">
        <v>7</v>
      </c>
      <c r="B96" t="s">
        <v>5</v>
      </c>
      <c r="C96">
        <v>44.5</v>
      </c>
      <c r="D96">
        <v>14.7</v>
      </c>
      <c r="E96">
        <v>214</v>
      </c>
      <c r="F96">
        <v>4850</v>
      </c>
      <c r="G96" t="s">
        <v>11</v>
      </c>
      <c r="H96" t="s">
        <v>35</v>
      </c>
      <c r="I96" t="s">
        <v>13</v>
      </c>
    </row>
    <row r="97" spans="1:9" x14ac:dyDescent="0.3">
      <c r="A97" t="s">
        <v>7</v>
      </c>
      <c r="B97" t="s">
        <v>5</v>
      </c>
      <c r="C97">
        <v>50.8</v>
      </c>
      <c r="D97">
        <v>15.7</v>
      </c>
      <c r="E97">
        <v>226</v>
      </c>
      <c r="F97">
        <v>5200</v>
      </c>
      <c r="G97" t="s">
        <v>6</v>
      </c>
      <c r="H97" t="s">
        <v>38</v>
      </c>
      <c r="I97" t="s">
        <v>14</v>
      </c>
    </row>
    <row r="98" spans="1:9" x14ac:dyDescent="0.3">
      <c r="A98" t="s">
        <v>7</v>
      </c>
      <c r="B98" t="s">
        <v>5</v>
      </c>
      <c r="C98">
        <v>49.4</v>
      </c>
      <c r="D98">
        <v>15.8</v>
      </c>
      <c r="E98">
        <v>216</v>
      </c>
      <c r="F98">
        <v>4925</v>
      </c>
      <c r="G98" t="s">
        <v>6</v>
      </c>
      <c r="H98" t="s">
        <v>36</v>
      </c>
      <c r="I98" t="s">
        <v>13</v>
      </c>
    </row>
    <row r="99" spans="1:9" x14ac:dyDescent="0.3">
      <c r="A99" t="s">
        <v>7</v>
      </c>
      <c r="B99" t="s">
        <v>5</v>
      </c>
      <c r="C99">
        <v>46.9</v>
      </c>
      <c r="D99">
        <v>14.6</v>
      </c>
      <c r="E99">
        <v>222</v>
      </c>
      <c r="F99">
        <v>4875</v>
      </c>
      <c r="G99" t="s">
        <v>11</v>
      </c>
      <c r="H99" t="s">
        <v>37</v>
      </c>
      <c r="I99" t="s">
        <v>13</v>
      </c>
    </row>
    <row r="100" spans="1:9" x14ac:dyDescent="0.3">
      <c r="A100" t="s">
        <v>7</v>
      </c>
      <c r="B100" t="s">
        <v>5</v>
      </c>
      <c r="C100">
        <v>48.4</v>
      </c>
      <c r="D100">
        <v>14.4</v>
      </c>
      <c r="E100">
        <v>203</v>
      </c>
      <c r="F100">
        <v>4625</v>
      </c>
      <c r="G100" t="s">
        <v>11</v>
      </c>
      <c r="H100" t="s">
        <v>33</v>
      </c>
      <c r="I100" t="s">
        <v>13</v>
      </c>
    </row>
    <row r="101" spans="1:9" x14ac:dyDescent="0.3">
      <c r="A101" t="s">
        <v>7</v>
      </c>
      <c r="B101" t="s">
        <v>5</v>
      </c>
      <c r="C101">
        <v>51.1</v>
      </c>
      <c r="D101">
        <v>16.5</v>
      </c>
      <c r="E101">
        <v>225</v>
      </c>
      <c r="F101">
        <v>5250</v>
      </c>
      <c r="G101" t="s">
        <v>6</v>
      </c>
      <c r="H101" t="s">
        <v>38</v>
      </c>
      <c r="I101" t="s">
        <v>14</v>
      </c>
    </row>
    <row r="102" spans="1:9" x14ac:dyDescent="0.3">
      <c r="A102" t="s">
        <v>7</v>
      </c>
      <c r="B102" t="s">
        <v>5</v>
      </c>
      <c r="C102">
        <v>48.5</v>
      </c>
      <c r="D102">
        <v>15</v>
      </c>
      <c r="E102">
        <v>219</v>
      </c>
      <c r="F102">
        <v>4850</v>
      </c>
      <c r="G102" t="s">
        <v>11</v>
      </c>
      <c r="H102" t="s">
        <v>36</v>
      </c>
      <c r="I102" t="s">
        <v>13</v>
      </c>
    </row>
    <row r="103" spans="1:9" x14ac:dyDescent="0.3">
      <c r="A103" t="s">
        <v>7</v>
      </c>
      <c r="B103" t="s">
        <v>5</v>
      </c>
      <c r="C103">
        <v>55.9</v>
      </c>
      <c r="D103">
        <v>17</v>
      </c>
      <c r="E103">
        <v>228</v>
      </c>
      <c r="F103">
        <v>5600</v>
      </c>
      <c r="G103" t="s">
        <v>6</v>
      </c>
      <c r="H103" t="s">
        <v>38</v>
      </c>
      <c r="I103" t="s">
        <v>14</v>
      </c>
    </row>
    <row r="104" spans="1:9" x14ac:dyDescent="0.3">
      <c r="A104" t="s">
        <v>7</v>
      </c>
      <c r="B104" t="s">
        <v>5</v>
      </c>
      <c r="C104">
        <v>47.2</v>
      </c>
      <c r="D104">
        <v>15.5</v>
      </c>
      <c r="E104">
        <v>215</v>
      </c>
      <c r="F104">
        <v>4975</v>
      </c>
      <c r="G104" t="s">
        <v>11</v>
      </c>
      <c r="H104" t="s">
        <v>36</v>
      </c>
      <c r="I104" t="s">
        <v>13</v>
      </c>
    </row>
    <row r="105" spans="1:9" x14ac:dyDescent="0.3">
      <c r="A105" t="s">
        <v>7</v>
      </c>
      <c r="B105" t="s">
        <v>5</v>
      </c>
      <c r="C105">
        <v>49.1</v>
      </c>
      <c r="D105">
        <v>15</v>
      </c>
      <c r="E105">
        <v>228</v>
      </c>
      <c r="F105">
        <v>5500</v>
      </c>
      <c r="G105" t="s">
        <v>6</v>
      </c>
      <c r="H105" t="s">
        <v>38</v>
      </c>
      <c r="I105" t="s">
        <v>14</v>
      </c>
    </row>
    <row r="106" spans="1:9" x14ac:dyDescent="0.3">
      <c r="A106" t="s">
        <v>7</v>
      </c>
      <c r="B106" t="s">
        <v>5</v>
      </c>
      <c r="C106">
        <v>47.3</v>
      </c>
      <c r="D106">
        <v>13.8</v>
      </c>
      <c r="E106">
        <v>216</v>
      </c>
      <c r="F106">
        <v>4725</v>
      </c>
      <c r="G106" t="s">
        <v>11</v>
      </c>
      <c r="H106" t="s">
        <v>36</v>
      </c>
      <c r="I106" t="s">
        <v>13</v>
      </c>
    </row>
    <row r="107" spans="1:9" x14ac:dyDescent="0.3">
      <c r="A107" t="s">
        <v>7</v>
      </c>
      <c r="B107" t="s">
        <v>5</v>
      </c>
      <c r="C107">
        <v>46.8</v>
      </c>
      <c r="D107">
        <v>16.100000000000001</v>
      </c>
      <c r="E107">
        <v>215</v>
      </c>
      <c r="F107">
        <v>5500</v>
      </c>
      <c r="G107" t="s">
        <v>6</v>
      </c>
      <c r="H107" t="s">
        <v>36</v>
      </c>
      <c r="I107" t="s">
        <v>14</v>
      </c>
    </row>
    <row r="108" spans="1:9" x14ac:dyDescent="0.3">
      <c r="A108" t="s">
        <v>7</v>
      </c>
      <c r="B108" t="s">
        <v>5</v>
      </c>
      <c r="C108">
        <v>41.7</v>
      </c>
      <c r="D108">
        <v>14.7</v>
      </c>
      <c r="E108">
        <v>210</v>
      </c>
      <c r="F108">
        <v>4700</v>
      </c>
      <c r="G108" t="s">
        <v>11</v>
      </c>
      <c r="H108" t="s">
        <v>35</v>
      </c>
      <c r="I108" t="s">
        <v>13</v>
      </c>
    </row>
    <row r="109" spans="1:9" x14ac:dyDescent="0.3">
      <c r="A109" t="s">
        <v>7</v>
      </c>
      <c r="B109" t="s">
        <v>5</v>
      </c>
      <c r="C109">
        <v>53.4</v>
      </c>
      <c r="D109">
        <v>15.8</v>
      </c>
      <c r="E109">
        <v>219</v>
      </c>
      <c r="F109">
        <v>5500</v>
      </c>
      <c r="G109" t="s">
        <v>6</v>
      </c>
      <c r="H109" t="s">
        <v>36</v>
      </c>
      <c r="I109" t="s">
        <v>14</v>
      </c>
    </row>
    <row r="110" spans="1:9" x14ac:dyDescent="0.3">
      <c r="A110" t="s">
        <v>7</v>
      </c>
      <c r="B110" t="s">
        <v>5</v>
      </c>
      <c r="C110">
        <v>43.3</v>
      </c>
      <c r="D110">
        <v>14</v>
      </c>
      <c r="E110">
        <v>208</v>
      </c>
      <c r="F110">
        <v>4575</v>
      </c>
      <c r="G110" t="s">
        <v>11</v>
      </c>
      <c r="H110" t="s">
        <v>34</v>
      </c>
      <c r="I110" t="s">
        <v>13</v>
      </c>
    </row>
    <row r="111" spans="1:9" x14ac:dyDescent="0.3">
      <c r="A111" t="s">
        <v>7</v>
      </c>
      <c r="B111" t="s">
        <v>5</v>
      </c>
      <c r="C111">
        <v>48.1</v>
      </c>
      <c r="D111">
        <v>15.1</v>
      </c>
      <c r="E111">
        <v>209</v>
      </c>
      <c r="F111">
        <v>5500</v>
      </c>
      <c r="G111" t="s">
        <v>6</v>
      </c>
      <c r="H111" t="s">
        <v>34</v>
      </c>
      <c r="I111" t="s">
        <v>14</v>
      </c>
    </row>
    <row r="112" spans="1:9" x14ac:dyDescent="0.3">
      <c r="A112" t="s">
        <v>7</v>
      </c>
      <c r="B112" t="s">
        <v>5</v>
      </c>
      <c r="C112">
        <v>50.5</v>
      </c>
      <c r="D112">
        <v>15.2</v>
      </c>
      <c r="E112">
        <v>216</v>
      </c>
      <c r="F112">
        <v>5000</v>
      </c>
      <c r="G112" t="s">
        <v>11</v>
      </c>
      <c r="H112" t="s">
        <v>36</v>
      </c>
      <c r="I112" t="s">
        <v>13</v>
      </c>
    </row>
    <row r="113" spans="1:9" x14ac:dyDescent="0.3">
      <c r="A113" t="s">
        <v>7</v>
      </c>
      <c r="B113" t="s">
        <v>5</v>
      </c>
      <c r="C113">
        <v>49.8</v>
      </c>
      <c r="D113">
        <v>15.9</v>
      </c>
      <c r="E113">
        <v>229</v>
      </c>
      <c r="F113">
        <v>5950</v>
      </c>
      <c r="G113" t="s">
        <v>6</v>
      </c>
      <c r="H113" t="s">
        <v>38</v>
      </c>
      <c r="I113" t="s">
        <v>14</v>
      </c>
    </row>
    <row r="114" spans="1:9" x14ac:dyDescent="0.3">
      <c r="A114" t="s">
        <v>7</v>
      </c>
      <c r="B114" t="s">
        <v>5</v>
      </c>
      <c r="C114">
        <v>43.5</v>
      </c>
      <c r="D114">
        <v>15.2</v>
      </c>
      <c r="E114">
        <v>213</v>
      </c>
      <c r="F114">
        <v>4650</v>
      </c>
      <c r="G114" t="s">
        <v>11</v>
      </c>
      <c r="H114" t="s">
        <v>35</v>
      </c>
      <c r="I114" t="s">
        <v>13</v>
      </c>
    </row>
    <row r="115" spans="1:9" x14ac:dyDescent="0.3">
      <c r="A115" t="s">
        <v>7</v>
      </c>
      <c r="B115" t="s">
        <v>5</v>
      </c>
      <c r="C115">
        <v>51.5</v>
      </c>
      <c r="D115">
        <v>16.3</v>
      </c>
      <c r="E115">
        <v>230</v>
      </c>
      <c r="F115">
        <v>5500</v>
      </c>
      <c r="G115" t="s">
        <v>6</v>
      </c>
      <c r="H115" t="s">
        <v>40</v>
      </c>
      <c r="I115" t="s">
        <v>14</v>
      </c>
    </row>
    <row r="116" spans="1:9" x14ac:dyDescent="0.3">
      <c r="A116" t="s">
        <v>7</v>
      </c>
      <c r="B116" t="s">
        <v>5</v>
      </c>
      <c r="C116">
        <v>46.2</v>
      </c>
      <c r="D116">
        <v>14.1</v>
      </c>
      <c r="E116">
        <v>217</v>
      </c>
      <c r="F116">
        <v>4375</v>
      </c>
      <c r="G116" t="s">
        <v>11</v>
      </c>
      <c r="H116" t="s">
        <v>36</v>
      </c>
      <c r="I116" t="s">
        <v>13</v>
      </c>
    </row>
    <row r="117" spans="1:9" x14ac:dyDescent="0.3">
      <c r="A117" t="s">
        <v>7</v>
      </c>
      <c r="B117" t="s">
        <v>5</v>
      </c>
      <c r="C117">
        <v>55.1</v>
      </c>
      <c r="D117">
        <v>16</v>
      </c>
      <c r="E117">
        <v>230</v>
      </c>
      <c r="F117">
        <v>5850</v>
      </c>
      <c r="G117" t="s">
        <v>6</v>
      </c>
      <c r="H117" t="s">
        <v>40</v>
      </c>
      <c r="I117" t="s">
        <v>14</v>
      </c>
    </row>
    <row r="118" spans="1:9" x14ac:dyDescent="0.3">
      <c r="A118" t="s">
        <v>7</v>
      </c>
      <c r="B118" t="s">
        <v>5</v>
      </c>
      <c r="C118">
        <v>44.5</v>
      </c>
      <c r="D118">
        <v>15.7</v>
      </c>
      <c r="E118">
        <v>217</v>
      </c>
      <c r="F118">
        <v>4875</v>
      </c>
      <c r="G118" t="s">
        <v>6</v>
      </c>
      <c r="H118" t="s">
        <v>36</v>
      </c>
      <c r="I118" t="s">
        <v>13</v>
      </c>
    </row>
    <row r="119" spans="1:9" x14ac:dyDescent="0.3">
      <c r="A119" t="s">
        <v>7</v>
      </c>
      <c r="B119" t="s">
        <v>5</v>
      </c>
      <c r="C119">
        <v>48.8</v>
      </c>
      <c r="D119">
        <v>16.2</v>
      </c>
      <c r="E119">
        <v>222</v>
      </c>
      <c r="F119">
        <v>6000</v>
      </c>
      <c r="G119" t="s">
        <v>6</v>
      </c>
      <c r="H119" t="s">
        <v>37</v>
      </c>
      <c r="I119" t="s">
        <v>14</v>
      </c>
    </row>
    <row r="120" spans="1:9" x14ac:dyDescent="0.3">
      <c r="A120" t="s">
        <v>7</v>
      </c>
      <c r="B120" t="s">
        <v>5</v>
      </c>
      <c r="C120">
        <v>47.2</v>
      </c>
      <c r="D120">
        <v>13.7</v>
      </c>
      <c r="E120">
        <v>214</v>
      </c>
      <c r="F120">
        <v>4925</v>
      </c>
      <c r="G120" t="s">
        <v>11</v>
      </c>
      <c r="H120" t="s">
        <v>35</v>
      </c>
      <c r="I120" t="s">
        <v>13</v>
      </c>
    </row>
    <row r="121" spans="1:9" x14ac:dyDescent="0.3">
      <c r="A121" t="s">
        <v>7</v>
      </c>
      <c r="B121" t="s">
        <v>5</v>
      </c>
      <c r="C121">
        <v>46.8</v>
      </c>
      <c r="D121">
        <v>14.3</v>
      </c>
      <c r="E121">
        <v>215</v>
      </c>
      <c r="F121">
        <v>4850</v>
      </c>
      <c r="G121" t="s">
        <v>11</v>
      </c>
      <c r="H121" t="s">
        <v>36</v>
      </c>
      <c r="I121" t="s">
        <v>13</v>
      </c>
    </row>
    <row r="122" spans="1:9" x14ac:dyDescent="0.3">
      <c r="A122" t="s">
        <v>7</v>
      </c>
      <c r="B122" t="s">
        <v>5</v>
      </c>
      <c r="C122">
        <v>50.4</v>
      </c>
      <c r="D122">
        <v>15.7</v>
      </c>
      <c r="E122">
        <v>222</v>
      </c>
      <c r="F122">
        <v>5750</v>
      </c>
      <c r="G122" t="s">
        <v>6</v>
      </c>
      <c r="H122" t="s">
        <v>37</v>
      </c>
      <c r="I122" t="s">
        <v>14</v>
      </c>
    </row>
    <row r="123" spans="1:9" x14ac:dyDescent="0.3">
      <c r="A123" t="s">
        <v>7</v>
      </c>
      <c r="B123" t="s">
        <v>5</v>
      </c>
      <c r="C123">
        <v>45.2</v>
      </c>
      <c r="D123">
        <v>14.8</v>
      </c>
      <c r="E123">
        <v>212</v>
      </c>
      <c r="F123">
        <v>5200</v>
      </c>
      <c r="G123" t="s">
        <v>11</v>
      </c>
      <c r="H123" t="s">
        <v>35</v>
      </c>
      <c r="I123" t="s">
        <v>14</v>
      </c>
    </row>
    <row r="124" spans="1:9" x14ac:dyDescent="0.3">
      <c r="A124" t="s">
        <v>7</v>
      </c>
      <c r="B124" t="s">
        <v>5</v>
      </c>
      <c r="C124">
        <v>49.9</v>
      </c>
      <c r="D124">
        <v>16.100000000000001</v>
      </c>
      <c r="E124">
        <v>213</v>
      </c>
      <c r="F124">
        <v>5400</v>
      </c>
      <c r="G124" t="s">
        <v>6</v>
      </c>
      <c r="H124" t="s">
        <v>35</v>
      </c>
      <c r="I124" t="s">
        <v>14</v>
      </c>
    </row>
    <row r="125" spans="1:9" x14ac:dyDescent="0.3">
      <c r="A125" t="s">
        <v>4</v>
      </c>
      <c r="B125" t="s">
        <v>5</v>
      </c>
      <c r="C125">
        <v>37.799999999999997</v>
      </c>
      <c r="D125">
        <v>18.3</v>
      </c>
      <c r="E125">
        <v>174</v>
      </c>
      <c r="F125">
        <v>3400</v>
      </c>
      <c r="G125" t="s">
        <v>11</v>
      </c>
      <c r="H125" t="s">
        <v>27</v>
      </c>
      <c r="I125" t="s">
        <v>13</v>
      </c>
    </row>
    <row r="126" spans="1:9" x14ac:dyDescent="0.3">
      <c r="A126" t="s">
        <v>4</v>
      </c>
      <c r="B126" t="s">
        <v>5</v>
      </c>
      <c r="C126">
        <v>37.700000000000003</v>
      </c>
      <c r="D126">
        <v>18.7</v>
      </c>
      <c r="E126">
        <v>180</v>
      </c>
      <c r="F126">
        <v>3600</v>
      </c>
      <c r="G126" t="s">
        <v>6</v>
      </c>
      <c r="H126" t="s">
        <v>29</v>
      </c>
      <c r="I126" t="s">
        <v>13</v>
      </c>
    </row>
    <row r="127" spans="1:9" x14ac:dyDescent="0.3">
      <c r="A127" t="s">
        <v>4</v>
      </c>
      <c r="B127" t="s">
        <v>5</v>
      </c>
      <c r="C127">
        <v>35.9</v>
      </c>
      <c r="D127">
        <v>19.2</v>
      </c>
      <c r="E127">
        <v>189</v>
      </c>
      <c r="F127">
        <v>3800</v>
      </c>
      <c r="G127" t="s">
        <v>11</v>
      </c>
      <c r="H127" t="s">
        <v>30</v>
      </c>
      <c r="I127" t="s">
        <v>13</v>
      </c>
    </row>
    <row r="128" spans="1:9" x14ac:dyDescent="0.3">
      <c r="A128" t="s">
        <v>4</v>
      </c>
      <c r="B128" t="s">
        <v>5</v>
      </c>
      <c r="C128">
        <v>38.200000000000003</v>
      </c>
      <c r="D128">
        <v>18.100000000000001</v>
      </c>
      <c r="E128">
        <v>185</v>
      </c>
      <c r="F128">
        <v>3950</v>
      </c>
      <c r="G128" t="s">
        <v>6</v>
      </c>
      <c r="H128" t="s">
        <v>30</v>
      </c>
      <c r="I128" t="s">
        <v>13</v>
      </c>
    </row>
    <row r="129" spans="1:9" x14ac:dyDescent="0.3">
      <c r="A129" t="s">
        <v>4</v>
      </c>
      <c r="B129" t="s">
        <v>5</v>
      </c>
      <c r="C129">
        <v>38.799999999999997</v>
      </c>
      <c r="D129">
        <v>17.2</v>
      </c>
      <c r="E129">
        <v>180</v>
      </c>
      <c r="F129">
        <v>3800</v>
      </c>
      <c r="G129" t="s">
        <v>6</v>
      </c>
      <c r="H129" t="s">
        <v>29</v>
      </c>
      <c r="I129" t="s">
        <v>13</v>
      </c>
    </row>
    <row r="130" spans="1:9" x14ac:dyDescent="0.3">
      <c r="A130" t="s">
        <v>4</v>
      </c>
      <c r="B130" t="s">
        <v>5</v>
      </c>
      <c r="C130">
        <v>35.299999999999997</v>
      </c>
      <c r="D130">
        <v>18.899999999999999</v>
      </c>
      <c r="E130">
        <v>187</v>
      </c>
      <c r="F130">
        <v>3800</v>
      </c>
      <c r="G130" t="s">
        <v>11</v>
      </c>
      <c r="H130" t="s">
        <v>30</v>
      </c>
      <c r="I130" t="s">
        <v>13</v>
      </c>
    </row>
    <row r="131" spans="1:9" x14ac:dyDescent="0.3">
      <c r="A131" t="s">
        <v>4</v>
      </c>
      <c r="B131" t="s">
        <v>5</v>
      </c>
      <c r="C131">
        <v>40.6</v>
      </c>
      <c r="D131">
        <v>18.600000000000001</v>
      </c>
      <c r="E131">
        <v>183</v>
      </c>
      <c r="F131">
        <v>3550</v>
      </c>
      <c r="G131" t="s">
        <v>6</v>
      </c>
      <c r="H131" t="s">
        <v>29</v>
      </c>
      <c r="I131" t="s">
        <v>13</v>
      </c>
    </row>
    <row r="132" spans="1:9" x14ac:dyDescent="0.3">
      <c r="A132" t="s">
        <v>4</v>
      </c>
      <c r="B132" t="s">
        <v>5</v>
      </c>
      <c r="C132">
        <v>40.5</v>
      </c>
      <c r="D132">
        <v>17.899999999999999</v>
      </c>
      <c r="E132">
        <v>187</v>
      </c>
      <c r="F132">
        <v>3200</v>
      </c>
      <c r="G132" t="s">
        <v>11</v>
      </c>
      <c r="H132" t="s">
        <v>30</v>
      </c>
      <c r="I132" t="s">
        <v>13</v>
      </c>
    </row>
    <row r="133" spans="1:9" x14ac:dyDescent="0.3">
      <c r="A133" t="s">
        <v>4</v>
      </c>
      <c r="B133" t="s">
        <v>5</v>
      </c>
      <c r="C133">
        <v>37.9</v>
      </c>
      <c r="D133">
        <v>18.600000000000001</v>
      </c>
      <c r="E133">
        <v>172</v>
      </c>
      <c r="F133">
        <v>3150</v>
      </c>
      <c r="G133" t="s">
        <v>11</v>
      </c>
      <c r="H133" t="s">
        <v>27</v>
      </c>
      <c r="I133" t="s">
        <v>13</v>
      </c>
    </row>
    <row r="134" spans="1:9" x14ac:dyDescent="0.3">
      <c r="A134" t="s">
        <v>4</v>
      </c>
      <c r="B134" t="s">
        <v>5</v>
      </c>
      <c r="C134">
        <v>40.5</v>
      </c>
      <c r="D134">
        <v>18.899999999999999</v>
      </c>
      <c r="E134">
        <v>180</v>
      </c>
      <c r="F134">
        <v>3950</v>
      </c>
      <c r="G134" t="s">
        <v>6</v>
      </c>
      <c r="H134" t="s">
        <v>29</v>
      </c>
      <c r="I134" t="s">
        <v>13</v>
      </c>
    </row>
    <row r="135" spans="1:9" x14ac:dyDescent="0.3">
      <c r="A135" t="s">
        <v>4</v>
      </c>
      <c r="B135" t="s">
        <v>5</v>
      </c>
      <c r="C135">
        <v>39.6</v>
      </c>
      <c r="D135">
        <v>17.7</v>
      </c>
      <c r="E135">
        <v>186</v>
      </c>
      <c r="F135">
        <v>3500</v>
      </c>
      <c r="G135" t="s">
        <v>11</v>
      </c>
      <c r="H135" t="s">
        <v>30</v>
      </c>
      <c r="I135" t="s">
        <v>13</v>
      </c>
    </row>
    <row r="136" spans="1:9" x14ac:dyDescent="0.3">
      <c r="A136" t="s">
        <v>4</v>
      </c>
      <c r="B136" t="s">
        <v>5</v>
      </c>
      <c r="C136">
        <v>40.1</v>
      </c>
      <c r="D136">
        <v>18.899999999999999</v>
      </c>
      <c r="E136">
        <v>188</v>
      </c>
      <c r="F136">
        <v>4300</v>
      </c>
      <c r="G136" t="s">
        <v>6</v>
      </c>
      <c r="H136" t="s">
        <v>30</v>
      </c>
      <c r="I136" t="s">
        <v>13</v>
      </c>
    </row>
    <row r="137" spans="1:9" x14ac:dyDescent="0.3">
      <c r="A137" t="s">
        <v>4</v>
      </c>
      <c r="B137" t="s">
        <v>5</v>
      </c>
      <c r="C137">
        <v>35</v>
      </c>
      <c r="D137">
        <v>17.899999999999999</v>
      </c>
      <c r="E137">
        <v>190</v>
      </c>
      <c r="F137">
        <v>3450</v>
      </c>
      <c r="G137" t="s">
        <v>11</v>
      </c>
      <c r="H137" t="s">
        <v>31</v>
      </c>
      <c r="I137" t="s">
        <v>13</v>
      </c>
    </row>
    <row r="138" spans="1:9" x14ac:dyDescent="0.3">
      <c r="A138" t="s">
        <v>4</v>
      </c>
      <c r="B138" t="s">
        <v>5</v>
      </c>
      <c r="C138">
        <v>42</v>
      </c>
      <c r="D138">
        <v>19.5</v>
      </c>
      <c r="E138">
        <v>200</v>
      </c>
      <c r="F138">
        <v>4050</v>
      </c>
      <c r="G138" t="s">
        <v>6</v>
      </c>
      <c r="H138" t="s">
        <v>33</v>
      </c>
      <c r="I138" t="s">
        <v>13</v>
      </c>
    </row>
    <row r="139" spans="1:9" x14ac:dyDescent="0.3">
      <c r="A139" t="s">
        <v>4</v>
      </c>
      <c r="B139" t="s">
        <v>5</v>
      </c>
      <c r="C139">
        <v>34.5</v>
      </c>
      <c r="D139">
        <v>18.100000000000001</v>
      </c>
      <c r="E139">
        <v>187</v>
      </c>
      <c r="F139">
        <v>2900</v>
      </c>
      <c r="G139" t="s">
        <v>11</v>
      </c>
      <c r="H139" t="s">
        <v>30</v>
      </c>
      <c r="I139" t="s">
        <v>13</v>
      </c>
    </row>
    <row r="140" spans="1:9" x14ac:dyDescent="0.3">
      <c r="A140" t="s">
        <v>4</v>
      </c>
      <c r="B140" t="s">
        <v>5</v>
      </c>
      <c r="C140">
        <v>41.4</v>
      </c>
      <c r="D140">
        <v>18.600000000000001</v>
      </c>
      <c r="E140">
        <v>191</v>
      </c>
      <c r="F140">
        <v>3700</v>
      </c>
      <c r="G140" t="s">
        <v>6</v>
      </c>
      <c r="H140" t="s">
        <v>31</v>
      </c>
      <c r="I140" t="s">
        <v>13</v>
      </c>
    </row>
    <row r="141" spans="1:9" x14ac:dyDescent="0.3">
      <c r="A141" t="s">
        <v>4</v>
      </c>
      <c r="B141" t="s">
        <v>5</v>
      </c>
      <c r="C141">
        <v>39</v>
      </c>
      <c r="D141">
        <v>17.5</v>
      </c>
      <c r="E141">
        <v>186</v>
      </c>
      <c r="F141">
        <v>3550</v>
      </c>
      <c r="G141" t="s">
        <v>11</v>
      </c>
      <c r="H141" t="s">
        <v>30</v>
      </c>
      <c r="I141" t="s">
        <v>13</v>
      </c>
    </row>
    <row r="142" spans="1:9" x14ac:dyDescent="0.3">
      <c r="A142" t="s">
        <v>4</v>
      </c>
      <c r="B142" t="s">
        <v>5</v>
      </c>
      <c r="C142">
        <v>40.6</v>
      </c>
      <c r="D142">
        <v>18.8</v>
      </c>
      <c r="E142">
        <v>193</v>
      </c>
      <c r="F142">
        <v>3800</v>
      </c>
      <c r="G142" t="s">
        <v>6</v>
      </c>
      <c r="H142" t="s">
        <v>31</v>
      </c>
      <c r="I142" t="s">
        <v>13</v>
      </c>
    </row>
    <row r="143" spans="1:9" x14ac:dyDescent="0.3">
      <c r="A143" t="s">
        <v>4</v>
      </c>
      <c r="B143" t="s">
        <v>5</v>
      </c>
      <c r="C143">
        <v>36.5</v>
      </c>
      <c r="D143">
        <v>16.600000000000001</v>
      </c>
      <c r="E143">
        <v>181</v>
      </c>
      <c r="F143">
        <v>2850</v>
      </c>
      <c r="G143" t="s">
        <v>11</v>
      </c>
      <c r="H143" t="s">
        <v>29</v>
      </c>
      <c r="I143" t="s">
        <v>13</v>
      </c>
    </row>
    <row r="144" spans="1:9" x14ac:dyDescent="0.3">
      <c r="A144" t="s">
        <v>4</v>
      </c>
      <c r="B144" t="s">
        <v>5</v>
      </c>
      <c r="C144">
        <v>37.6</v>
      </c>
      <c r="D144">
        <v>19.100000000000001</v>
      </c>
      <c r="E144">
        <v>194</v>
      </c>
      <c r="F144">
        <v>3750</v>
      </c>
      <c r="G144" t="s">
        <v>6</v>
      </c>
      <c r="H144" t="s">
        <v>31</v>
      </c>
      <c r="I144" t="s">
        <v>13</v>
      </c>
    </row>
    <row r="145" spans="1:12" x14ac:dyDescent="0.3">
      <c r="A145" t="s">
        <v>4</v>
      </c>
      <c r="B145" t="s">
        <v>5</v>
      </c>
      <c r="C145">
        <v>35.700000000000003</v>
      </c>
      <c r="D145">
        <v>16.899999999999999</v>
      </c>
      <c r="E145">
        <v>185</v>
      </c>
      <c r="F145">
        <v>3150</v>
      </c>
      <c r="G145" t="s">
        <v>11</v>
      </c>
      <c r="H145" t="s">
        <v>30</v>
      </c>
      <c r="I145" t="s">
        <v>13</v>
      </c>
    </row>
    <row r="146" spans="1:12" x14ac:dyDescent="0.3">
      <c r="A146" t="s">
        <v>4</v>
      </c>
      <c r="B146" t="s">
        <v>5</v>
      </c>
      <c r="C146">
        <v>41.3</v>
      </c>
      <c r="D146">
        <v>21.1</v>
      </c>
      <c r="E146">
        <v>195</v>
      </c>
      <c r="F146">
        <v>4400</v>
      </c>
      <c r="G146" t="s">
        <v>6</v>
      </c>
      <c r="H146" t="s">
        <v>32</v>
      </c>
      <c r="I146" t="s">
        <v>13</v>
      </c>
    </row>
    <row r="147" spans="1:12" x14ac:dyDescent="0.3">
      <c r="A147" t="s">
        <v>4</v>
      </c>
      <c r="B147" t="s">
        <v>5</v>
      </c>
      <c r="C147">
        <v>37.6</v>
      </c>
      <c r="D147">
        <v>17</v>
      </c>
      <c r="E147">
        <v>185</v>
      </c>
      <c r="F147">
        <v>3600</v>
      </c>
      <c r="G147" t="s">
        <v>11</v>
      </c>
      <c r="H147" t="s">
        <v>30</v>
      </c>
      <c r="I147" t="s">
        <v>13</v>
      </c>
    </row>
    <row r="148" spans="1:12" x14ac:dyDescent="0.3">
      <c r="A148" t="s">
        <v>4</v>
      </c>
      <c r="B148" t="s">
        <v>5</v>
      </c>
      <c r="C148">
        <v>41.1</v>
      </c>
      <c r="D148">
        <v>18.2</v>
      </c>
      <c r="E148">
        <v>192</v>
      </c>
      <c r="F148">
        <v>4050</v>
      </c>
      <c r="G148" t="s">
        <v>6</v>
      </c>
      <c r="H148" t="s">
        <v>31</v>
      </c>
      <c r="I148" t="s">
        <v>13</v>
      </c>
    </row>
    <row r="149" spans="1:12" x14ac:dyDescent="0.3">
      <c r="A149" t="s">
        <v>4</v>
      </c>
      <c r="B149" t="s">
        <v>5</v>
      </c>
      <c r="C149">
        <v>36.4</v>
      </c>
      <c r="D149">
        <v>17.100000000000001</v>
      </c>
      <c r="E149">
        <v>184</v>
      </c>
      <c r="F149">
        <v>2850</v>
      </c>
      <c r="G149" t="s">
        <v>11</v>
      </c>
      <c r="H149" t="s">
        <v>29</v>
      </c>
      <c r="I149" t="s">
        <v>13</v>
      </c>
    </row>
    <row r="150" spans="1:12" x14ac:dyDescent="0.3">
      <c r="A150" t="s">
        <v>4</v>
      </c>
      <c r="B150" t="s">
        <v>5</v>
      </c>
      <c r="C150">
        <v>41.6</v>
      </c>
      <c r="D150">
        <v>18</v>
      </c>
      <c r="E150">
        <v>192</v>
      </c>
      <c r="F150">
        <v>3950</v>
      </c>
      <c r="G150" t="s">
        <v>6</v>
      </c>
      <c r="H150" t="s">
        <v>31</v>
      </c>
      <c r="I150" t="s">
        <v>13</v>
      </c>
    </row>
    <row r="151" spans="1:12" x14ac:dyDescent="0.3">
      <c r="A151" t="s">
        <v>4</v>
      </c>
      <c r="B151" t="s">
        <v>5</v>
      </c>
      <c r="C151">
        <v>35.5</v>
      </c>
      <c r="D151">
        <v>16.2</v>
      </c>
      <c r="E151">
        <v>195</v>
      </c>
      <c r="F151">
        <v>3350</v>
      </c>
      <c r="G151" t="s">
        <v>11</v>
      </c>
      <c r="H151" t="s">
        <v>32</v>
      </c>
      <c r="I151" t="s">
        <v>13</v>
      </c>
    </row>
    <row r="152" spans="1:12" x14ac:dyDescent="0.3">
      <c r="A152" t="s">
        <v>4</v>
      </c>
      <c r="B152" t="s">
        <v>5</v>
      </c>
      <c r="C152">
        <v>41.1</v>
      </c>
      <c r="D152">
        <v>19.100000000000001</v>
      </c>
      <c r="E152">
        <v>188</v>
      </c>
      <c r="F152">
        <v>4100</v>
      </c>
      <c r="G152" t="s">
        <v>6</v>
      </c>
      <c r="H152" t="s">
        <v>30</v>
      </c>
      <c r="I152" t="s">
        <v>13</v>
      </c>
    </row>
    <row r="153" spans="1:12" x14ac:dyDescent="0.3">
      <c r="A153" t="s">
        <v>4</v>
      </c>
      <c r="B153" t="s">
        <v>5</v>
      </c>
      <c r="C153">
        <v>35</v>
      </c>
      <c r="D153">
        <v>17.899999999999999</v>
      </c>
      <c r="E153">
        <v>192</v>
      </c>
      <c r="F153">
        <v>3725</v>
      </c>
      <c r="G153" t="s">
        <v>11</v>
      </c>
      <c r="H153" t="s">
        <v>31</v>
      </c>
      <c r="I153" t="s">
        <v>13</v>
      </c>
    </row>
    <row r="154" spans="1:12" x14ac:dyDescent="0.3">
      <c r="A154" t="s">
        <v>4</v>
      </c>
      <c r="B154" t="s">
        <v>5</v>
      </c>
      <c r="C154">
        <v>41</v>
      </c>
      <c r="D154">
        <v>20</v>
      </c>
      <c r="E154">
        <v>203</v>
      </c>
      <c r="F154">
        <v>4725</v>
      </c>
      <c r="G154" t="s">
        <v>6</v>
      </c>
      <c r="H154" t="s">
        <v>33</v>
      </c>
      <c r="I154" t="s">
        <v>13</v>
      </c>
    </row>
    <row r="155" spans="1:12" x14ac:dyDescent="0.3">
      <c r="A155" t="s">
        <v>4</v>
      </c>
      <c r="B155" t="s">
        <v>5</v>
      </c>
      <c r="C155">
        <v>37.700000000000003</v>
      </c>
      <c r="D155">
        <v>16</v>
      </c>
      <c r="E155">
        <v>183</v>
      </c>
      <c r="F155">
        <v>3075</v>
      </c>
      <c r="G155" t="s">
        <v>11</v>
      </c>
      <c r="H155" t="s">
        <v>29</v>
      </c>
      <c r="I155" t="s">
        <v>13</v>
      </c>
    </row>
    <row r="156" spans="1:12" x14ac:dyDescent="0.3">
      <c r="A156" t="s">
        <v>4</v>
      </c>
      <c r="B156" t="s">
        <v>5</v>
      </c>
      <c r="C156">
        <v>37.799999999999997</v>
      </c>
      <c r="D156">
        <v>20</v>
      </c>
      <c r="E156">
        <v>190</v>
      </c>
      <c r="F156">
        <v>4250</v>
      </c>
      <c r="G156" t="s">
        <v>6</v>
      </c>
      <c r="H156" t="s">
        <v>31</v>
      </c>
      <c r="I156" t="s">
        <v>13</v>
      </c>
    </row>
    <row r="157" spans="1:12" x14ac:dyDescent="0.3">
      <c r="A157" t="s">
        <v>4</v>
      </c>
      <c r="B157" t="s">
        <v>5</v>
      </c>
      <c r="C157">
        <v>37.9</v>
      </c>
      <c r="D157">
        <v>18.600000000000001</v>
      </c>
      <c r="E157">
        <v>193</v>
      </c>
      <c r="F157">
        <v>2925</v>
      </c>
      <c r="G157" t="s">
        <v>11</v>
      </c>
      <c r="H157" t="s">
        <v>31</v>
      </c>
      <c r="I157" t="s">
        <v>13</v>
      </c>
    </row>
    <row r="158" spans="1:12" x14ac:dyDescent="0.3">
      <c r="A158" t="s">
        <v>4</v>
      </c>
      <c r="B158" t="s">
        <v>5</v>
      </c>
      <c r="C158">
        <v>39.700000000000003</v>
      </c>
      <c r="D158">
        <v>18.899999999999999</v>
      </c>
      <c r="E158">
        <v>184</v>
      </c>
      <c r="F158">
        <v>3550</v>
      </c>
      <c r="G158" t="s">
        <v>6</v>
      </c>
      <c r="H158" t="s">
        <v>29</v>
      </c>
      <c r="I158" t="s">
        <v>13</v>
      </c>
    </row>
    <row r="159" spans="1:12" x14ac:dyDescent="0.3">
      <c r="A159" t="s">
        <v>4</v>
      </c>
      <c r="B159" t="s">
        <v>5</v>
      </c>
      <c r="C159">
        <v>38.6</v>
      </c>
      <c r="D159">
        <v>17.2</v>
      </c>
      <c r="E159">
        <v>199</v>
      </c>
      <c r="F159">
        <v>3750</v>
      </c>
      <c r="G159" t="s">
        <v>11</v>
      </c>
      <c r="H159" t="s">
        <v>32</v>
      </c>
      <c r="I159" t="s">
        <v>13</v>
      </c>
      <c r="L159">
        <f>MIN(E2:E168)</f>
        <v>172</v>
      </c>
    </row>
    <row r="160" spans="1:12" x14ac:dyDescent="0.3">
      <c r="A160" t="s">
        <v>4</v>
      </c>
      <c r="B160" t="s">
        <v>5</v>
      </c>
      <c r="C160">
        <v>38.200000000000003</v>
      </c>
      <c r="D160">
        <v>20</v>
      </c>
      <c r="E160">
        <v>190</v>
      </c>
      <c r="F160">
        <v>3900</v>
      </c>
      <c r="G160" t="s">
        <v>6</v>
      </c>
      <c r="H160" t="s">
        <v>31</v>
      </c>
      <c r="I160" t="s">
        <v>13</v>
      </c>
      <c r="L160">
        <f>MAX(E2:E168)</f>
        <v>231</v>
      </c>
    </row>
    <row r="161" spans="1:9" x14ac:dyDescent="0.3">
      <c r="A161" t="s">
        <v>4</v>
      </c>
      <c r="B161" t="s">
        <v>5</v>
      </c>
      <c r="C161">
        <v>38.1</v>
      </c>
      <c r="D161">
        <v>17</v>
      </c>
      <c r="E161">
        <v>181</v>
      </c>
      <c r="F161">
        <v>3175</v>
      </c>
      <c r="G161" t="s">
        <v>11</v>
      </c>
      <c r="H161" t="s">
        <v>29</v>
      </c>
      <c r="I161" t="s">
        <v>13</v>
      </c>
    </row>
    <row r="162" spans="1:9" x14ac:dyDescent="0.3">
      <c r="A162" t="s">
        <v>4</v>
      </c>
      <c r="B162" t="s">
        <v>5</v>
      </c>
      <c r="C162">
        <v>43.2</v>
      </c>
      <c r="D162">
        <v>19</v>
      </c>
      <c r="E162">
        <v>197</v>
      </c>
      <c r="F162">
        <v>4775</v>
      </c>
      <c r="G162" t="s">
        <v>6</v>
      </c>
      <c r="H162" t="s">
        <v>32</v>
      </c>
      <c r="I162" t="s">
        <v>13</v>
      </c>
    </row>
    <row r="163" spans="1:9" x14ac:dyDescent="0.3">
      <c r="A163" t="s">
        <v>4</v>
      </c>
      <c r="B163" t="s">
        <v>5</v>
      </c>
      <c r="C163">
        <v>38.1</v>
      </c>
      <c r="D163">
        <v>16.5</v>
      </c>
      <c r="E163">
        <v>198</v>
      </c>
      <c r="F163">
        <v>3825</v>
      </c>
      <c r="G163" t="s">
        <v>11</v>
      </c>
      <c r="H163" t="s">
        <v>32</v>
      </c>
      <c r="I163" t="s">
        <v>13</v>
      </c>
    </row>
    <row r="164" spans="1:9" x14ac:dyDescent="0.3">
      <c r="A164" t="s">
        <v>4</v>
      </c>
      <c r="B164" t="s">
        <v>5</v>
      </c>
      <c r="C164">
        <v>45.6</v>
      </c>
      <c r="D164">
        <v>20.3</v>
      </c>
      <c r="E164">
        <v>191</v>
      </c>
      <c r="F164">
        <v>4600</v>
      </c>
      <c r="G164" t="s">
        <v>6</v>
      </c>
      <c r="H164" t="s">
        <v>31</v>
      </c>
      <c r="I164" t="s">
        <v>13</v>
      </c>
    </row>
    <row r="165" spans="1:9" x14ac:dyDescent="0.3">
      <c r="A165" t="s">
        <v>4</v>
      </c>
      <c r="B165" t="s">
        <v>5</v>
      </c>
      <c r="C165">
        <v>39.700000000000003</v>
      </c>
      <c r="D165">
        <v>17.7</v>
      </c>
      <c r="E165">
        <v>193</v>
      </c>
      <c r="F165">
        <v>3200</v>
      </c>
      <c r="G165" t="s">
        <v>11</v>
      </c>
      <c r="H165" t="s">
        <v>31</v>
      </c>
      <c r="I165" t="s">
        <v>13</v>
      </c>
    </row>
    <row r="166" spans="1:9" x14ac:dyDescent="0.3">
      <c r="A166" t="s">
        <v>4</v>
      </c>
      <c r="B166" t="s">
        <v>5</v>
      </c>
      <c r="C166">
        <v>42.2</v>
      </c>
      <c r="D166">
        <v>19.5</v>
      </c>
      <c r="E166">
        <v>197</v>
      </c>
      <c r="F166">
        <v>4275</v>
      </c>
      <c r="G166" t="s">
        <v>6</v>
      </c>
      <c r="H166" t="s">
        <v>32</v>
      </c>
      <c r="I166" t="s">
        <v>13</v>
      </c>
    </row>
    <row r="167" spans="1:9" x14ac:dyDescent="0.3">
      <c r="A167" t="s">
        <v>4</v>
      </c>
      <c r="B167" t="s">
        <v>5</v>
      </c>
      <c r="C167">
        <v>39.6</v>
      </c>
      <c r="D167">
        <v>20.7</v>
      </c>
      <c r="E167">
        <v>191</v>
      </c>
      <c r="F167">
        <v>3900</v>
      </c>
      <c r="G167" t="s">
        <v>11</v>
      </c>
      <c r="H167" t="s">
        <v>31</v>
      </c>
      <c r="I167" t="s">
        <v>13</v>
      </c>
    </row>
    <row r="168" spans="1:9" x14ac:dyDescent="0.3">
      <c r="A168" t="s">
        <v>4</v>
      </c>
      <c r="B168" t="s">
        <v>5</v>
      </c>
      <c r="C168">
        <v>42.7</v>
      </c>
      <c r="D168">
        <v>18.3</v>
      </c>
      <c r="E168">
        <v>196</v>
      </c>
      <c r="F168">
        <v>4075</v>
      </c>
      <c r="G168" t="s">
        <v>6</v>
      </c>
      <c r="H168" t="s">
        <v>32</v>
      </c>
      <c r="I168" t="s">
        <v>13</v>
      </c>
    </row>
    <row r="169" spans="1:9" x14ac:dyDescent="0.3">
      <c r="A169" t="s">
        <v>4</v>
      </c>
      <c r="B169" t="s">
        <v>9</v>
      </c>
      <c r="C169">
        <v>39.5</v>
      </c>
      <c r="D169">
        <v>16.7</v>
      </c>
      <c r="E169">
        <v>178</v>
      </c>
      <c r="F169">
        <v>3250</v>
      </c>
      <c r="G169" t="s">
        <v>11</v>
      </c>
      <c r="H169" t="s">
        <v>28</v>
      </c>
      <c r="I169" t="s">
        <v>13</v>
      </c>
    </row>
    <row r="170" spans="1:9" x14ac:dyDescent="0.3">
      <c r="A170" t="s">
        <v>4</v>
      </c>
      <c r="B170" t="s">
        <v>9</v>
      </c>
      <c r="C170">
        <v>37.200000000000003</v>
      </c>
      <c r="D170">
        <v>18.100000000000001</v>
      </c>
      <c r="E170">
        <v>178</v>
      </c>
      <c r="F170">
        <v>3900</v>
      </c>
      <c r="G170" t="s">
        <v>6</v>
      </c>
      <c r="H170" t="s">
        <v>28</v>
      </c>
      <c r="I170" t="s">
        <v>13</v>
      </c>
    </row>
    <row r="171" spans="1:9" x14ac:dyDescent="0.3">
      <c r="A171" t="s">
        <v>4</v>
      </c>
      <c r="B171" t="s">
        <v>9</v>
      </c>
      <c r="C171">
        <v>39.5</v>
      </c>
      <c r="D171">
        <v>17.8</v>
      </c>
      <c r="E171">
        <v>188</v>
      </c>
      <c r="F171">
        <v>3300</v>
      </c>
      <c r="G171" t="s">
        <v>11</v>
      </c>
      <c r="H171" t="s">
        <v>30</v>
      </c>
      <c r="I171" t="s">
        <v>13</v>
      </c>
    </row>
    <row r="172" spans="1:9" x14ac:dyDescent="0.3">
      <c r="A172" t="s">
        <v>4</v>
      </c>
      <c r="B172" t="s">
        <v>9</v>
      </c>
      <c r="C172">
        <v>40.9</v>
      </c>
      <c r="D172">
        <v>18.899999999999999</v>
      </c>
      <c r="E172">
        <v>184</v>
      </c>
      <c r="F172">
        <v>3900</v>
      </c>
      <c r="G172" t="s">
        <v>6</v>
      </c>
      <c r="H172" t="s">
        <v>29</v>
      </c>
      <c r="I172" t="s">
        <v>13</v>
      </c>
    </row>
    <row r="173" spans="1:9" x14ac:dyDescent="0.3">
      <c r="A173" t="s">
        <v>4</v>
      </c>
      <c r="B173" t="s">
        <v>9</v>
      </c>
      <c r="C173">
        <v>36.4</v>
      </c>
      <c r="D173">
        <v>17</v>
      </c>
      <c r="E173">
        <v>195</v>
      </c>
      <c r="F173">
        <v>3325</v>
      </c>
      <c r="G173" t="s">
        <v>11</v>
      </c>
      <c r="H173" t="s">
        <v>32</v>
      </c>
      <c r="I173" t="s">
        <v>13</v>
      </c>
    </row>
    <row r="174" spans="1:9" x14ac:dyDescent="0.3">
      <c r="A174" t="s">
        <v>4</v>
      </c>
      <c r="B174" t="s">
        <v>9</v>
      </c>
      <c r="C174">
        <v>39.200000000000003</v>
      </c>
      <c r="D174">
        <v>21.1</v>
      </c>
      <c r="E174">
        <v>196</v>
      </c>
      <c r="F174">
        <v>4150</v>
      </c>
      <c r="G174" t="s">
        <v>6</v>
      </c>
      <c r="H174" t="s">
        <v>32</v>
      </c>
      <c r="I174" t="s">
        <v>13</v>
      </c>
    </row>
    <row r="175" spans="1:9" x14ac:dyDescent="0.3">
      <c r="A175" t="s">
        <v>4</v>
      </c>
      <c r="B175" t="s">
        <v>9</v>
      </c>
      <c r="C175">
        <v>38.799999999999997</v>
      </c>
      <c r="D175">
        <v>20</v>
      </c>
      <c r="E175">
        <v>190</v>
      </c>
      <c r="F175">
        <v>3950</v>
      </c>
      <c r="G175" t="s">
        <v>6</v>
      </c>
      <c r="H175" t="s">
        <v>31</v>
      </c>
      <c r="I175" t="s">
        <v>13</v>
      </c>
    </row>
    <row r="176" spans="1:9" x14ac:dyDescent="0.3">
      <c r="A176" t="s">
        <v>4</v>
      </c>
      <c r="B176" t="s">
        <v>9</v>
      </c>
      <c r="C176">
        <v>42.2</v>
      </c>
      <c r="D176">
        <v>18.5</v>
      </c>
      <c r="E176">
        <v>180</v>
      </c>
      <c r="F176">
        <v>3550</v>
      </c>
      <c r="G176" t="s">
        <v>11</v>
      </c>
      <c r="H176" t="s">
        <v>29</v>
      </c>
      <c r="I176" t="s">
        <v>13</v>
      </c>
    </row>
    <row r="177" spans="1:9" x14ac:dyDescent="0.3">
      <c r="A177" t="s">
        <v>4</v>
      </c>
      <c r="B177" t="s">
        <v>9</v>
      </c>
      <c r="C177">
        <v>37.6</v>
      </c>
      <c r="D177">
        <v>19.3</v>
      </c>
      <c r="E177">
        <v>181</v>
      </c>
      <c r="F177">
        <v>3300</v>
      </c>
      <c r="G177" t="s">
        <v>11</v>
      </c>
      <c r="H177" t="s">
        <v>29</v>
      </c>
      <c r="I177" t="s">
        <v>13</v>
      </c>
    </row>
    <row r="178" spans="1:9" x14ac:dyDescent="0.3">
      <c r="A178" t="s">
        <v>4</v>
      </c>
      <c r="B178" t="s">
        <v>9</v>
      </c>
      <c r="C178">
        <v>39.799999999999997</v>
      </c>
      <c r="D178">
        <v>19.100000000000001</v>
      </c>
      <c r="E178">
        <v>184</v>
      </c>
      <c r="F178">
        <v>4650</v>
      </c>
      <c r="G178" t="s">
        <v>6</v>
      </c>
      <c r="H178" t="s">
        <v>29</v>
      </c>
      <c r="I178" t="s">
        <v>13</v>
      </c>
    </row>
    <row r="179" spans="1:9" x14ac:dyDescent="0.3">
      <c r="A179" t="s">
        <v>4</v>
      </c>
      <c r="B179" t="s">
        <v>9</v>
      </c>
      <c r="C179">
        <v>36.5</v>
      </c>
      <c r="D179">
        <v>18</v>
      </c>
      <c r="E179">
        <v>182</v>
      </c>
      <c r="F179">
        <v>3150</v>
      </c>
      <c r="G179" t="s">
        <v>11</v>
      </c>
      <c r="H179" t="s">
        <v>29</v>
      </c>
      <c r="I179" t="s">
        <v>13</v>
      </c>
    </row>
    <row r="180" spans="1:9" x14ac:dyDescent="0.3">
      <c r="A180" t="s">
        <v>4</v>
      </c>
      <c r="B180" t="s">
        <v>9</v>
      </c>
      <c r="C180">
        <v>40.799999999999997</v>
      </c>
      <c r="D180">
        <v>18.399999999999999</v>
      </c>
      <c r="E180">
        <v>195</v>
      </c>
      <c r="F180">
        <v>3900</v>
      </c>
      <c r="G180" t="s">
        <v>6</v>
      </c>
      <c r="H180" t="s">
        <v>32</v>
      </c>
      <c r="I180" t="s">
        <v>13</v>
      </c>
    </row>
    <row r="181" spans="1:9" x14ac:dyDescent="0.3">
      <c r="A181" t="s">
        <v>4</v>
      </c>
      <c r="B181" t="s">
        <v>9</v>
      </c>
      <c r="C181">
        <v>36</v>
      </c>
      <c r="D181">
        <v>18.5</v>
      </c>
      <c r="E181">
        <v>186</v>
      </c>
      <c r="F181">
        <v>3100</v>
      </c>
      <c r="G181" t="s">
        <v>11</v>
      </c>
      <c r="H181" t="s">
        <v>30</v>
      </c>
      <c r="I181" t="s">
        <v>13</v>
      </c>
    </row>
    <row r="182" spans="1:9" x14ac:dyDescent="0.3">
      <c r="A182" t="s">
        <v>4</v>
      </c>
      <c r="B182" t="s">
        <v>9</v>
      </c>
      <c r="C182">
        <v>44.1</v>
      </c>
      <c r="D182">
        <v>19.7</v>
      </c>
      <c r="E182">
        <v>196</v>
      </c>
      <c r="F182">
        <v>4400</v>
      </c>
      <c r="G182" t="s">
        <v>6</v>
      </c>
      <c r="H182" t="s">
        <v>32</v>
      </c>
      <c r="I182" t="s">
        <v>13</v>
      </c>
    </row>
    <row r="183" spans="1:9" x14ac:dyDescent="0.3">
      <c r="A183" t="s">
        <v>4</v>
      </c>
      <c r="B183" t="s">
        <v>9</v>
      </c>
      <c r="C183">
        <v>37</v>
      </c>
      <c r="D183">
        <v>16.899999999999999</v>
      </c>
      <c r="E183">
        <v>185</v>
      </c>
      <c r="F183">
        <v>3000</v>
      </c>
      <c r="G183" t="s">
        <v>11</v>
      </c>
      <c r="H183" t="s">
        <v>30</v>
      </c>
      <c r="I183" t="s">
        <v>13</v>
      </c>
    </row>
    <row r="184" spans="1:9" x14ac:dyDescent="0.3">
      <c r="A184" t="s">
        <v>4</v>
      </c>
      <c r="B184" t="s">
        <v>9</v>
      </c>
      <c r="C184">
        <v>39.6</v>
      </c>
      <c r="D184">
        <v>18.8</v>
      </c>
      <c r="E184">
        <v>190</v>
      </c>
      <c r="F184">
        <v>4600</v>
      </c>
      <c r="G184" t="s">
        <v>6</v>
      </c>
      <c r="H184" t="s">
        <v>31</v>
      </c>
      <c r="I184" t="s">
        <v>13</v>
      </c>
    </row>
    <row r="185" spans="1:9" x14ac:dyDescent="0.3">
      <c r="A185" t="s">
        <v>4</v>
      </c>
      <c r="B185" t="s">
        <v>9</v>
      </c>
      <c r="C185">
        <v>41.1</v>
      </c>
      <c r="D185">
        <v>19</v>
      </c>
      <c r="E185">
        <v>182</v>
      </c>
      <c r="F185">
        <v>3425</v>
      </c>
      <c r="G185" t="s">
        <v>6</v>
      </c>
      <c r="H185" t="s">
        <v>29</v>
      </c>
      <c r="I185" t="s">
        <v>13</v>
      </c>
    </row>
    <row r="186" spans="1:9" x14ac:dyDescent="0.3">
      <c r="A186" t="s">
        <v>4</v>
      </c>
      <c r="B186" t="s">
        <v>9</v>
      </c>
      <c r="C186">
        <v>37.5</v>
      </c>
      <c r="D186">
        <v>18.899999999999999</v>
      </c>
      <c r="E186">
        <v>179</v>
      </c>
      <c r="F186">
        <v>2975</v>
      </c>
      <c r="G186" t="s">
        <v>11</v>
      </c>
      <c r="H186" t="s">
        <v>28</v>
      </c>
      <c r="I186" t="s">
        <v>13</v>
      </c>
    </row>
    <row r="187" spans="1:9" x14ac:dyDescent="0.3">
      <c r="A187" t="s">
        <v>4</v>
      </c>
      <c r="B187" t="s">
        <v>9</v>
      </c>
      <c r="C187">
        <v>36</v>
      </c>
      <c r="D187">
        <v>17.899999999999999</v>
      </c>
      <c r="E187">
        <v>190</v>
      </c>
      <c r="F187">
        <v>3450</v>
      </c>
      <c r="G187" t="s">
        <v>11</v>
      </c>
      <c r="H187" t="s">
        <v>31</v>
      </c>
      <c r="I187" t="s">
        <v>13</v>
      </c>
    </row>
    <row r="188" spans="1:9" x14ac:dyDescent="0.3">
      <c r="A188" t="s">
        <v>4</v>
      </c>
      <c r="B188" t="s">
        <v>9</v>
      </c>
      <c r="C188">
        <v>42.3</v>
      </c>
      <c r="D188">
        <v>21.2</v>
      </c>
      <c r="E188">
        <v>191</v>
      </c>
      <c r="F188">
        <v>4150</v>
      </c>
      <c r="G188" t="s">
        <v>6</v>
      </c>
      <c r="H188" t="s">
        <v>31</v>
      </c>
      <c r="I188" t="s">
        <v>13</v>
      </c>
    </row>
    <row r="189" spans="1:9" x14ac:dyDescent="0.3">
      <c r="A189" t="s">
        <v>4</v>
      </c>
      <c r="B189" t="s">
        <v>9</v>
      </c>
      <c r="C189">
        <v>37.299999999999997</v>
      </c>
      <c r="D189">
        <v>17.8</v>
      </c>
      <c r="E189">
        <v>191</v>
      </c>
      <c r="F189">
        <v>3350</v>
      </c>
      <c r="G189" t="s">
        <v>11</v>
      </c>
      <c r="H189" t="s">
        <v>31</v>
      </c>
      <c r="I189" t="s">
        <v>13</v>
      </c>
    </row>
    <row r="190" spans="1:9" x14ac:dyDescent="0.3">
      <c r="A190" t="s">
        <v>4</v>
      </c>
      <c r="B190" t="s">
        <v>9</v>
      </c>
      <c r="C190">
        <v>41.3</v>
      </c>
      <c r="D190">
        <v>20.3</v>
      </c>
      <c r="E190">
        <v>194</v>
      </c>
      <c r="F190">
        <v>3550</v>
      </c>
      <c r="G190" t="s">
        <v>6</v>
      </c>
      <c r="H190" t="s">
        <v>31</v>
      </c>
      <c r="I190" t="s">
        <v>13</v>
      </c>
    </row>
    <row r="191" spans="1:9" x14ac:dyDescent="0.3">
      <c r="A191" t="s">
        <v>4</v>
      </c>
      <c r="B191" t="s">
        <v>9</v>
      </c>
      <c r="C191">
        <v>36.299999999999997</v>
      </c>
      <c r="D191">
        <v>19.5</v>
      </c>
      <c r="E191">
        <v>190</v>
      </c>
      <c r="F191">
        <v>3800</v>
      </c>
      <c r="G191" t="s">
        <v>6</v>
      </c>
      <c r="H191" t="s">
        <v>31</v>
      </c>
      <c r="I191" t="s">
        <v>13</v>
      </c>
    </row>
    <row r="192" spans="1:9" x14ac:dyDescent="0.3">
      <c r="A192" t="s">
        <v>4</v>
      </c>
      <c r="B192" t="s">
        <v>9</v>
      </c>
      <c r="C192">
        <v>36.9</v>
      </c>
      <c r="D192">
        <v>18.600000000000001</v>
      </c>
      <c r="E192">
        <v>189</v>
      </c>
      <c r="F192">
        <v>3500</v>
      </c>
      <c r="G192" t="s">
        <v>11</v>
      </c>
      <c r="H192" t="s">
        <v>30</v>
      </c>
      <c r="I192" t="s">
        <v>13</v>
      </c>
    </row>
    <row r="193" spans="1:9" x14ac:dyDescent="0.3">
      <c r="A193" t="s">
        <v>4</v>
      </c>
      <c r="B193" t="s">
        <v>9</v>
      </c>
      <c r="C193">
        <v>38.299999999999997</v>
      </c>
      <c r="D193">
        <v>19.2</v>
      </c>
      <c r="E193">
        <v>189</v>
      </c>
      <c r="F193">
        <v>3950</v>
      </c>
      <c r="G193" t="s">
        <v>6</v>
      </c>
      <c r="H193" t="s">
        <v>30</v>
      </c>
      <c r="I193" t="s">
        <v>13</v>
      </c>
    </row>
    <row r="194" spans="1:9" x14ac:dyDescent="0.3">
      <c r="A194" t="s">
        <v>4</v>
      </c>
      <c r="B194" t="s">
        <v>9</v>
      </c>
      <c r="C194">
        <v>38.9</v>
      </c>
      <c r="D194">
        <v>18.8</v>
      </c>
      <c r="E194">
        <v>190</v>
      </c>
      <c r="F194">
        <v>3600</v>
      </c>
      <c r="G194" t="s">
        <v>11</v>
      </c>
      <c r="H194" t="s">
        <v>31</v>
      </c>
      <c r="I194" t="s">
        <v>13</v>
      </c>
    </row>
    <row r="195" spans="1:9" x14ac:dyDescent="0.3">
      <c r="A195" t="s">
        <v>4</v>
      </c>
      <c r="B195" t="s">
        <v>9</v>
      </c>
      <c r="C195">
        <v>35.700000000000003</v>
      </c>
      <c r="D195">
        <v>18</v>
      </c>
      <c r="E195">
        <v>202</v>
      </c>
      <c r="F195">
        <v>3550</v>
      </c>
      <c r="G195" t="s">
        <v>11</v>
      </c>
      <c r="H195" t="s">
        <v>33</v>
      </c>
      <c r="I195" t="s">
        <v>13</v>
      </c>
    </row>
    <row r="196" spans="1:9" x14ac:dyDescent="0.3">
      <c r="A196" t="s">
        <v>4</v>
      </c>
      <c r="B196" t="s">
        <v>9</v>
      </c>
      <c r="C196">
        <v>41.1</v>
      </c>
      <c r="D196">
        <v>18.100000000000001</v>
      </c>
      <c r="E196">
        <v>205</v>
      </c>
      <c r="F196">
        <v>4300</v>
      </c>
      <c r="G196" t="s">
        <v>6</v>
      </c>
      <c r="H196" t="s">
        <v>34</v>
      </c>
      <c r="I196" t="s">
        <v>13</v>
      </c>
    </row>
    <row r="197" spans="1:9" x14ac:dyDescent="0.3">
      <c r="A197" t="s">
        <v>4</v>
      </c>
      <c r="B197" t="s">
        <v>9</v>
      </c>
      <c r="C197">
        <v>34</v>
      </c>
      <c r="D197">
        <v>17.100000000000001</v>
      </c>
      <c r="E197">
        <v>185</v>
      </c>
      <c r="F197">
        <v>3400</v>
      </c>
      <c r="G197" t="s">
        <v>11</v>
      </c>
      <c r="H197" t="s">
        <v>30</v>
      </c>
      <c r="I197" t="s">
        <v>13</v>
      </c>
    </row>
    <row r="198" spans="1:9" x14ac:dyDescent="0.3">
      <c r="A198" t="s">
        <v>4</v>
      </c>
      <c r="B198" t="s">
        <v>9</v>
      </c>
      <c r="C198">
        <v>39.6</v>
      </c>
      <c r="D198">
        <v>18.100000000000001</v>
      </c>
      <c r="E198">
        <v>186</v>
      </c>
      <c r="F198">
        <v>4450</v>
      </c>
      <c r="G198" t="s">
        <v>6</v>
      </c>
      <c r="H198" t="s">
        <v>30</v>
      </c>
      <c r="I198" t="s">
        <v>13</v>
      </c>
    </row>
    <row r="199" spans="1:9" x14ac:dyDescent="0.3">
      <c r="A199" t="s">
        <v>4</v>
      </c>
      <c r="B199" t="s">
        <v>9</v>
      </c>
      <c r="C199">
        <v>36.200000000000003</v>
      </c>
      <c r="D199">
        <v>17.3</v>
      </c>
      <c r="E199">
        <v>187</v>
      </c>
      <c r="F199">
        <v>3300</v>
      </c>
      <c r="G199" t="s">
        <v>11</v>
      </c>
      <c r="H199" t="s">
        <v>30</v>
      </c>
      <c r="I199" t="s">
        <v>13</v>
      </c>
    </row>
    <row r="200" spans="1:9" x14ac:dyDescent="0.3">
      <c r="A200" t="s">
        <v>4</v>
      </c>
      <c r="B200" t="s">
        <v>9</v>
      </c>
      <c r="C200">
        <v>40.799999999999997</v>
      </c>
      <c r="D200">
        <v>18.899999999999999</v>
      </c>
      <c r="E200">
        <v>208</v>
      </c>
      <c r="F200">
        <v>4300</v>
      </c>
      <c r="G200" t="s">
        <v>6</v>
      </c>
      <c r="H200" t="s">
        <v>34</v>
      </c>
      <c r="I200" t="s">
        <v>13</v>
      </c>
    </row>
    <row r="201" spans="1:9" x14ac:dyDescent="0.3">
      <c r="A201" t="s">
        <v>4</v>
      </c>
      <c r="B201" t="s">
        <v>9</v>
      </c>
      <c r="C201">
        <v>38.1</v>
      </c>
      <c r="D201">
        <v>18.600000000000001</v>
      </c>
      <c r="E201">
        <v>190</v>
      </c>
      <c r="F201">
        <v>3700</v>
      </c>
      <c r="G201" t="s">
        <v>11</v>
      </c>
      <c r="H201" t="s">
        <v>31</v>
      </c>
      <c r="I201" t="s">
        <v>13</v>
      </c>
    </row>
    <row r="202" spans="1:9" x14ac:dyDescent="0.3">
      <c r="A202" t="s">
        <v>4</v>
      </c>
      <c r="B202" t="s">
        <v>9</v>
      </c>
      <c r="C202">
        <v>40.299999999999997</v>
      </c>
      <c r="D202">
        <v>18.5</v>
      </c>
      <c r="E202">
        <v>196</v>
      </c>
      <c r="F202">
        <v>4350</v>
      </c>
      <c r="G202" t="s">
        <v>6</v>
      </c>
      <c r="H202" t="s">
        <v>32</v>
      </c>
      <c r="I202" t="s">
        <v>13</v>
      </c>
    </row>
    <row r="203" spans="1:9" x14ac:dyDescent="0.3">
      <c r="A203" t="s">
        <v>4</v>
      </c>
      <c r="B203" t="s">
        <v>9</v>
      </c>
      <c r="C203">
        <v>33.1</v>
      </c>
      <c r="D203">
        <v>16.100000000000001</v>
      </c>
      <c r="E203">
        <v>178</v>
      </c>
      <c r="F203">
        <v>2900</v>
      </c>
      <c r="G203" t="s">
        <v>11</v>
      </c>
      <c r="H203" t="s">
        <v>28</v>
      </c>
      <c r="I203" t="s">
        <v>13</v>
      </c>
    </row>
    <row r="204" spans="1:9" x14ac:dyDescent="0.3">
      <c r="A204" t="s">
        <v>4</v>
      </c>
      <c r="B204" t="s">
        <v>9</v>
      </c>
      <c r="C204">
        <v>43.2</v>
      </c>
      <c r="D204">
        <v>18.5</v>
      </c>
      <c r="E204">
        <v>192</v>
      </c>
      <c r="F204">
        <v>4100</v>
      </c>
      <c r="G204" t="s">
        <v>6</v>
      </c>
      <c r="H204" t="s">
        <v>31</v>
      </c>
      <c r="I204" t="s">
        <v>13</v>
      </c>
    </row>
    <row r="205" spans="1:9" x14ac:dyDescent="0.3">
      <c r="A205" t="s">
        <v>4</v>
      </c>
      <c r="B205" t="s">
        <v>9</v>
      </c>
      <c r="C205">
        <v>36.799999999999997</v>
      </c>
      <c r="D205">
        <v>18.5</v>
      </c>
      <c r="E205">
        <v>193</v>
      </c>
      <c r="F205">
        <v>3500</v>
      </c>
      <c r="G205" t="s">
        <v>11</v>
      </c>
      <c r="H205" t="s">
        <v>31</v>
      </c>
      <c r="I205" t="s">
        <v>13</v>
      </c>
    </row>
    <row r="206" spans="1:9" x14ac:dyDescent="0.3">
      <c r="A206" t="s">
        <v>4</v>
      </c>
      <c r="B206" t="s">
        <v>9</v>
      </c>
      <c r="C206">
        <v>37.5</v>
      </c>
      <c r="D206">
        <v>18.5</v>
      </c>
      <c r="E206">
        <v>199</v>
      </c>
      <c r="F206">
        <v>4475</v>
      </c>
      <c r="G206" t="s">
        <v>6</v>
      </c>
      <c r="H206" t="s">
        <v>32</v>
      </c>
      <c r="I206" t="s">
        <v>13</v>
      </c>
    </row>
    <row r="207" spans="1:9" x14ac:dyDescent="0.3">
      <c r="A207" t="s">
        <v>4</v>
      </c>
      <c r="B207" t="s">
        <v>9</v>
      </c>
      <c r="C207">
        <v>38.1</v>
      </c>
      <c r="D207">
        <v>17.600000000000001</v>
      </c>
      <c r="E207">
        <v>187</v>
      </c>
      <c r="F207">
        <v>3425</v>
      </c>
      <c r="G207" t="s">
        <v>11</v>
      </c>
      <c r="H207" t="s">
        <v>30</v>
      </c>
      <c r="I207" t="s">
        <v>13</v>
      </c>
    </row>
    <row r="208" spans="1:9" x14ac:dyDescent="0.3">
      <c r="A208" t="s">
        <v>4</v>
      </c>
      <c r="B208" t="s">
        <v>9</v>
      </c>
      <c r="C208">
        <v>41.1</v>
      </c>
      <c r="D208">
        <v>17.5</v>
      </c>
      <c r="E208">
        <v>190</v>
      </c>
      <c r="F208">
        <v>3900</v>
      </c>
      <c r="G208" t="s">
        <v>6</v>
      </c>
      <c r="H208" t="s">
        <v>31</v>
      </c>
      <c r="I208" t="s">
        <v>13</v>
      </c>
    </row>
    <row r="209" spans="1:9" x14ac:dyDescent="0.3">
      <c r="A209" t="s">
        <v>4</v>
      </c>
      <c r="B209" t="s">
        <v>9</v>
      </c>
      <c r="C209">
        <v>35.6</v>
      </c>
      <c r="D209">
        <v>17.5</v>
      </c>
      <c r="E209">
        <v>191</v>
      </c>
      <c r="F209">
        <v>3175</v>
      </c>
      <c r="G209" t="s">
        <v>11</v>
      </c>
      <c r="H209" t="s">
        <v>31</v>
      </c>
      <c r="I209" t="s">
        <v>13</v>
      </c>
    </row>
    <row r="210" spans="1:9" x14ac:dyDescent="0.3">
      <c r="A210" t="s">
        <v>4</v>
      </c>
      <c r="B210" t="s">
        <v>9</v>
      </c>
      <c r="C210">
        <v>40.200000000000003</v>
      </c>
      <c r="D210">
        <v>20.100000000000001</v>
      </c>
      <c r="E210">
        <v>200</v>
      </c>
      <c r="F210">
        <v>3975</v>
      </c>
      <c r="G210" t="s">
        <v>6</v>
      </c>
      <c r="H210" t="s">
        <v>33</v>
      </c>
      <c r="I210" t="s">
        <v>13</v>
      </c>
    </row>
    <row r="211" spans="1:9" x14ac:dyDescent="0.3">
      <c r="A211" t="s">
        <v>4</v>
      </c>
      <c r="B211" t="s">
        <v>9</v>
      </c>
      <c r="C211">
        <v>37</v>
      </c>
      <c r="D211">
        <v>16.5</v>
      </c>
      <c r="E211">
        <v>185</v>
      </c>
      <c r="F211">
        <v>3400</v>
      </c>
      <c r="G211" t="s">
        <v>11</v>
      </c>
      <c r="H211" t="s">
        <v>30</v>
      </c>
      <c r="I211" t="s">
        <v>13</v>
      </c>
    </row>
    <row r="212" spans="1:9" x14ac:dyDescent="0.3">
      <c r="A212" t="s">
        <v>4</v>
      </c>
      <c r="B212" t="s">
        <v>9</v>
      </c>
      <c r="C212">
        <v>39.700000000000003</v>
      </c>
      <c r="D212">
        <v>17.899999999999999</v>
      </c>
      <c r="E212">
        <v>193</v>
      </c>
      <c r="F212">
        <v>4250</v>
      </c>
      <c r="G212" t="s">
        <v>6</v>
      </c>
      <c r="H212" t="s">
        <v>31</v>
      </c>
      <c r="I212" t="s">
        <v>13</v>
      </c>
    </row>
    <row r="213" spans="1:9" x14ac:dyDescent="0.3">
      <c r="A213" t="s">
        <v>4</v>
      </c>
      <c r="B213" t="s">
        <v>9</v>
      </c>
      <c r="C213">
        <v>40.200000000000003</v>
      </c>
      <c r="D213">
        <v>17.100000000000001</v>
      </c>
      <c r="E213">
        <v>193</v>
      </c>
      <c r="F213">
        <v>3400</v>
      </c>
      <c r="G213" t="s">
        <v>11</v>
      </c>
      <c r="H213" t="s">
        <v>31</v>
      </c>
      <c r="I213" t="s">
        <v>13</v>
      </c>
    </row>
    <row r="214" spans="1:9" x14ac:dyDescent="0.3">
      <c r="A214" t="s">
        <v>4</v>
      </c>
      <c r="B214" t="s">
        <v>9</v>
      </c>
      <c r="C214">
        <v>40.6</v>
      </c>
      <c r="D214">
        <v>17.2</v>
      </c>
      <c r="E214">
        <v>187</v>
      </c>
      <c r="F214">
        <v>3475</v>
      </c>
      <c r="G214" t="s">
        <v>6</v>
      </c>
      <c r="H214" t="s">
        <v>30</v>
      </c>
      <c r="I214" t="s">
        <v>13</v>
      </c>
    </row>
    <row r="215" spans="1:9" x14ac:dyDescent="0.3">
      <c r="A215" t="s">
        <v>4</v>
      </c>
      <c r="B215" t="s">
        <v>9</v>
      </c>
      <c r="C215">
        <v>32.1</v>
      </c>
      <c r="D215">
        <v>15.5</v>
      </c>
      <c r="E215">
        <v>188</v>
      </c>
      <c r="F215">
        <v>3050</v>
      </c>
      <c r="G215" t="s">
        <v>11</v>
      </c>
      <c r="H215" t="s">
        <v>30</v>
      </c>
      <c r="I215" t="s">
        <v>13</v>
      </c>
    </row>
    <row r="216" spans="1:9" x14ac:dyDescent="0.3">
      <c r="A216" t="s">
        <v>4</v>
      </c>
      <c r="B216" t="s">
        <v>9</v>
      </c>
      <c r="C216">
        <v>40.700000000000003</v>
      </c>
      <c r="D216">
        <v>17</v>
      </c>
      <c r="E216">
        <v>190</v>
      </c>
      <c r="F216">
        <v>3725</v>
      </c>
      <c r="G216" t="s">
        <v>6</v>
      </c>
      <c r="H216" t="s">
        <v>31</v>
      </c>
      <c r="I216" t="s">
        <v>13</v>
      </c>
    </row>
    <row r="217" spans="1:9" x14ac:dyDescent="0.3">
      <c r="A217" t="s">
        <v>4</v>
      </c>
      <c r="B217" t="s">
        <v>9</v>
      </c>
      <c r="C217">
        <v>37.299999999999997</v>
      </c>
      <c r="D217">
        <v>16.8</v>
      </c>
      <c r="E217">
        <v>192</v>
      </c>
      <c r="F217">
        <v>3000</v>
      </c>
      <c r="G217" t="s">
        <v>11</v>
      </c>
      <c r="H217" t="s">
        <v>31</v>
      </c>
      <c r="I217" t="s">
        <v>13</v>
      </c>
    </row>
    <row r="218" spans="1:9" x14ac:dyDescent="0.3">
      <c r="A218" t="s">
        <v>4</v>
      </c>
      <c r="B218" t="s">
        <v>9</v>
      </c>
      <c r="C218">
        <v>39</v>
      </c>
      <c r="D218">
        <v>18.7</v>
      </c>
      <c r="E218">
        <v>185</v>
      </c>
      <c r="F218">
        <v>3650</v>
      </c>
      <c r="G218" t="s">
        <v>6</v>
      </c>
      <c r="H218" t="s">
        <v>30</v>
      </c>
      <c r="I218" t="s">
        <v>13</v>
      </c>
    </row>
    <row r="219" spans="1:9" x14ac:dyDescent="0.3">
      <c r="A219" t="s">
        <v>4</v>
      </c>
      <c r="B219" t="s">
        <v>9</v>
      </c>
      <c r="C219">
        <v>39.200000000000003</v>
      </c>
      <c r="D219">
        <v>18.600000000000001</v>
      </c>
      <c r="E219">
        <v>190</v>
      </c>
      <c r="F219">
        <v>4250</v>
      </c>
      <c r="G219" t="s">
        <v>6</v>
      </c>
      <c r="H219" t="s">
        <v>31</v>
      </c>
      <c r="I219" t="s">
        <v>13</v>
      </c>
    </row>
    <row r="220" spans="1:9" x14ac:dyDescent="0.3">
      <c r="A220" t="s">
        <v>4</v>
      </c>
      <c r="B220" t="s">
        <v>9</v>
      </c>
      <c r="C220">
        <v>36.6</v>
      </c>
      <c r="D220">
        <v>18.399999999999999</v>
      </c>
      <c r="E220">
        <v>184</v>
      </c>
      <c r="F220">
        <v>3475</v>
      </c>
      <c r="G220" t="s">
        <v>11</v>
      </c>
      <c r="H220" t="s">
        <v>29</v>
      </c>
      <c r="I220" t="s">
        <v>13</v>
      </c>
    </row>
    <row r="221" spans="1:9" x14ac:dyDescent="0.3">
      <c r="A221" t="s">
        <v>4</v>
      </c>
      <c r="B221" t="s">
        <v>9</v>
      </c>
      <c r="C221">
        <v>36</v>
      </c>
      <c r="D221">
        <v>17.8</v>
      </c>
      <c r="E221">
        <v>195</v>
      </c>
      <c r="F221">
        <v>3450</v>
      </c>
      <c r="G221" t="s">
        <v>11</v>
      </c>
      <c r="H221" t="s">
        <v>32</v>
      </c>
      <c r="I221" t="s">
        <v>13</v>
      </c>
    </row>
    <row r="222" spans="1:9" x14ac:dyDescent="0.3">
      <c r="A222" t="s">
        <v>4</v>
      </c>
      <c r="B222" t="s">
        <v>9</v>
      </c>
      <c r="C222">
        <v>37.799999999999997</v>
      </c>
      <c r="D222">
        <v>18.100000000000001</v>
      </c>
      <c r="E222">
        <v>193</v>
      </c>
      <c r="F222">
        <v>3750</v>
      </c>
      <c r="G222" t="s">
        <v>6</v>
      </c>
      <c r="H222" t="s">
        <v>31</v>
      </c>
      <c r="I222" t="s">
        <v>13</v>
      </c>
    </row>
    <row r="223" spans="1:9" x14ac:dyDescent="0.3">
      <c r="A223" t="s">
        <v>4</v>
      </c>
      <c r="B223" t="s">
        <v>9</v>
      </c>
      <c r="C223">
        <v>36</v>
      </c>
      <c r="D223">
        <v>17.100000000000001</v>
      </c>
      <c r="E223">
        <v>187</v>
      </c>
      <c r="F223">
        <v>3700</v>
      </c>
      <c r="G223" t="s">
        <v>11</v>
      </c>
      <c r="H223" t="s">
        <v>30</v>
      </c>
      <c r="I223" t="s">
        <v>13</v>
      </c>
    </row>
    <row r="224" spans="1:9" x14ac:dyDescent="0.3">
      <c r="A224" t="s">
        <v>4</v>
      </c>
      <c r="B224" t="s">
        <v>9</v>
      </c>
      <c r="C224">
        <v>41.5</v>
      </c>
      <c r="D224">
        <v>18.5</v>
      </c>
      <c r="E224">
        <v>201</v>
      </c>
      <c r="F224">
        <v>4000</v>
      </c>
      <c r="G224" t="s">
        <v>6</v>
      </c>
      <c r="H224" t="s">
        <v>33</v>
      </c>
      <c r="I224" t="s">
        <v>13</v>
      </c>
    </row>
    <row r="225" spans="1:9" x14ac:dyDescent="0.3">
      <c r="A225" t="s">
        <v>10</v>
      </c>
      <c r="B225" t="s">
        <v>9</v>
      </c>
      <c r="C225">
        <v>46.5</v>
      </c>
      <c r="D225">
        <v>17.899999999999999</v>
      </c>
      <c r="E225">
        <v>192</v>
      </c>
      <c r="F225">
        <v>3500</v>
      </c>
      <c r="G225" t="s">
        <v>11</v>
      </c>
      <c r="H225" t="s">
        <v>31</v>
      </c>
      <c r="I225" t="s">
        <v>13</v>
      </c>
    </row>
    <row r="226" spans="1:9" x14ac:dyDescent="0.3">
      <c r="A226" t="s">
        <v>10</v>
      </c>
      <c r="B226" t="s">
        <v>9</v>
      </c>
      <c r="C226">
        <v>50</v>
      </c>
      <c r="D226">
        <v>19.5</v>
      </c>
      <c r="E226">
        <v>196</v>
      </c>
      <c r="F226">
        <v>3900</v>
      </c>
      <c r="G226" t="s">
        <v>6</v>
      </c>
      <c r="H226" t="s">
        <v>32</v>
      </c>
      <c r="I226" t="s">
        <v>13</v>
      </c>
    </row>
    <row r="227" spans="1:9" x14ac:dyDescent="0.3">
      <c r="A227" t="s">
        <v>10</v>
      </c>
      <c r="B227" t="s">
        <v>9</v>
      </c>
      <c r="C227">
        <v>51.3</v>
      </c>
      <c r="D227">
        <v>19.2</v>
      </c>
      <c r="E227">
        <v>193</v>
      </c>
      <c r="F227">
        <v>3650</v>
      </c>
      <c r="G227" t="s">
        <v>6</v>
      </c>
      <c r="H227" t="s">
        <v>31</v>
      </c>
      <c r="I227" t="s">
        <v>13</v>
      </c>
    </row>
    <row r="228" spans="1:9" x14ac:dyDescent="0.3">
      <c r="A228" t="s">
        <v>10</v>
      </c>
      <c r="B228" t="s">
        <v>9</v>
      </c>
      <c r="C228">
        <v>45.4</v>
      </c>
      <c r="D228">
        <v>18.7</v>
      </c>
      <c r="E228">
        <v>188</v>
      </c>
      <c r="F228">
        <v>3525</v>
      </c>
      <c r="G228" t="s">
        <v>11</v>
      </c>
      <c r="H228" t="s">
        <v>30</v>
      </c>
      <c r="I228" t="s">
        <v>13</v>
      </c>
    </row>
    <row r="229" spans="1:9" x14ac:dyDescent="0.3">
      <c r="A229" t="s">
        <v>10</v>
      </c>
      <c r="B229" t="s">
        <v>9</v>
      </c>
      <c r="C229">
        <v>52.7</v>
      </c>
      <c r="D229">
        <v>19.8</v>
      </c>
      <c r="E229">
        <v>197</v>
      </c>
      <c r="F229">
        <v>3725</v>
      </c>
      <c r="G229" t="s">
        <v>6</v>
      </c>
      <c r="H229" t="s">
        <v>32</v>
      </c>
      <c r="I229" t="s">
        <v>13</v>
      </c>
    </row>
    <row r="230" spans="1:9" x14ac:dyDescent="0.3">
      <c r="A230" t="s">
        <v>10</v>
      </c>
      <c r="B230" t="s">
        <v>9</v>
      </c>
      <c r="C230">
        <v>45.2</v>
      </c>
      <c r="D230">
        <v>17.8</v>
      </c>
      <c r="E230">
        <v>198</v>
      </c>
      <c r="F230">
        <v>3950</v>
      </c>
      <c r="G230" t="s">
        <v>11</v>
      </c>
      <c r="H230" t="s">
        <v>32</v>
      </c>
      <c r="I230" t="s">
        <v>13</v>
      </c>
    </row>
    <row r="231" spans="1:9" x14ac:dyDescent="0.3">
      <c r="A231" t="s">
        <v>10</v>
      </c>
      <c r="B231" t="s">
        <v>9</v>
      </c>
      <c r="C231">
        <v>46.1</v>
      </c>
      <c r="D231">
        <v>18.2</v>
      </c>
      <c r="E231">
        <v>178</v>
      </c>
      <c r="F231">
        <v>3250</v>
      </c>
      <c r="G231" t="s">
        <v>11</v>
      </c>
      <c r="H231" t="s">
        <v>28</v>
      </c>
      <c r="I231" t="s">
        <v>13</v>
      </c>
    </row>
    <row r="232" spans="1:9" x14ac:dyDescent="0.3">
      <c r="A232" t="s">
        <v>10</v>
      </c>
      <c r="B232" t="s">
        <v>9</v>
      </c>
      <c r="C232">
        <v>51.3</v>
      </c>
      <c r="D232">
        <v>18.2</v>
      </c>
      <c r="E232">
        <v>197</v>
      </c>
      <c r="F232">
        <v>3750</v>
      </c>
      <c r="G232" t="s">
        <v>6</v>
      </c>
      <c r="H232" t="s">
        <v>32</v>
      </c>
      <c r="I232" t="s">
        <v>13</v>
      </c>
    </row>
    <row r="233" spans="1:9" x14ac:dyDescent="0.3">
      <c r="A233" t="s">
        <v>10</v>
      </c>
      <c r="B233" t="s">
        <v>9</v>
      </c>
      <c r="C233">
        <v>46</v>
      </c>
      <c r="D233">
        <v>18.899999999999999</v>
      </c>
      <c r="E233">
        <v>195</v>
      </c>
      <c r="F233">
        <v>4150</v>
      </c>
      <c r="G233" t="s">
        <v>11</v>
      </c>
      <c r="H233" t="s">
        <v>32</v>
      </c>
      <c r="I233" t="s">
        <v>13</v>
      </c>
    </row>
    <row r="234" spans="1:9" x14ac:dyDescent="0.3">
      <c r="A234" t="s">
        <v>10</v>
      </c>
      <c r="B234" t="s">
        <v>9</v>
      </c>
      <c r="C234">
        <v>51.3</v>
      </c>
      <c r="D234">
        <v>19.899999999999999</v>
      </c>
      <c r="E234">
        <v>198</v>
      </c>
      <c r="F234">
        <v>3700</v>
      </c>
      <c r="G234" t="s">
        <v>6</v>
      </c>
      <c r="H234" t="s">
        <v>32</v>
      </c>
      <c r="I234" t="s">
        <v>13</v>
      </c>
    </row>
    <row r="235" spans="1:9" x14ac:dyDescent="0.3">
      <c r="A235" t="s">
        <v>10</v>
      </c>
      <c r="B235" t="s">
        <v>9</v>
      </c>
      <c r="C235">
        <v>46.6</v>
      </c>
      <c r="D235">
        <v>17.8</v>
      </c>
      <c r="E235">
        <v>193</v>
      </c>
      <c r="F235">
        <v>3800</v>
      </c>
      <c r="G235" t="s">
        <v>11</v>
      </c>
      <c r="H235" t="s">
        <v>31</v>
      </c>
      <c r="I235" t="s">
        <v>13</v>
      </c>
    </row>
    <row r="236" spans="1:9" x14ac:dyDescent="0.3">
      <c r="A236" t="s">
        <v>10</v>
      </c>
      <c r="B236" t="s">
        <v>9</v>
      </c>
      <c r="C236">
        <v>51.7</v>
      </c>
      <c r="D236">
        <v>20.3</v>
      </c>
      <c r="E236">
        <v>194</v>
      </c>
      <c r="F236">
        <v>3775</v>
      </c>
      <c r="G236" t="s">
        <v>6</v>
      </c>
      <c r="H236" t="s">
        <v>31</v>
      </c>
      <c r="I236" t="s">
        <v>13</v>
      </c>
    </row>
    <row r="237" spans="1:9" x14ac:dyDescent="0.3">
      <c r="A237" t="s">
        <v>10</v>
      </c>
      <c r="B237" t="s">
        <v>9</v>
      </c>
      <c r="C237">
        <v>47</v>
      </c>
      <c r="D237">
        <v>17.3</v>
      </c>
      <c r="E237">
        <v>185</v>
      </c>
      <c r="F237">
        <v>3700</v>
      </c>
      <c r="G237" t="s">
        <v>11</v>
      </c>
      <c r="H237" t="s">
        <v>30</v>
      </c>
      <c r="I237" t="s">
        <v>13</v>
      </c>
    </row>
    <row r="238" spans="1:9" x14ac:dyDescent="0.3">
      <c r="A238" t="s">
        <v>10</v>
      </c>
      <c r="B238" t="s">
        <v>9</v>
      </c>
      <c r="C238">
        <v>52</v>
      </c>
      <c r="D238">
        <v>18.100000000000001</v>
      </c>
      <c r="E238">
        <v>201</v>
      </c>
      <c r="F238">
        <v>4050</v>
      </c>
      <c r="G238" t="s">
        <v>6</v>
      </c>
      <c r="H238" t="s">
        <v>33</v>
      </c>
      <c r="I238" t="s">
        <v>13</v>
      </c>
    </row>
    <row r="239" spans="1:9" x14ac:dyDescent="0.3">
      <c r="A239" t="s">
        <v>10</v>
      </c>
      <c r="B239" t="s">
        <v>9</v>
      </c>
      <c r="C239">
        <v>45.9</v>
      </c>
      <c r="D239">
        <v>17.100000000000001</v>
      </c>
      <c r="E239">
        <v>190</v>
      </c>
      <c r="F239">
        <v>3575</v>
      </c>
      <c r="G239" t="s">
        <v>11</v>
      </c>
      <c r="H239" t="s">
        <v>31</v>
      </c>
      <c r="I239" t="s">
        <v>13</v>
      </c>
    </row>
    <row r="240" spans="1:9" x14ac:dyDescent="0.3">
      <c r="A240" t="s">
        <v>10</v>
      </c>
      <c r="B240" t="s">
        <v>9</v>
      </c>
      <c r="C240">
        <v>50.5</v>
      </c>
      <c r="D240">
        <v>19.600000000000001</v>
      </c>
      <c r="E240">
        <v>201</v>
      </c>
      <c r="F240">
        <v>4050</v>
      </c>
      <c r="G240" t="s">
        <v>6</v>
      </c>
      <c r="H240" t="s">
        <v>33</v>
      </c>
      <c r="I240" t="s">
        <v>13</v>
      </c>
    </row>
    <row r="241" spans="1:9" x14ac:dyDescent="0.3">
      <c r="A241" t="s">
        <v>10</v>
      </c>
      <c r="B241" t="s">
        <v>9</v>
      </c>
      <c r="C241">
        <v>50.3</v>
      </c>
      <c r="D241">
        <v>20</v>
      </c>
      <c r="E241">
        <v>197</v>
      </c>
      <c r="F241">
        <v>3300</v>
      </c>
      <c r="G241" t="s">
        <v>6</v>
      </c>
      <c r="H241" t="s">
        <v>32</v>
      </c>
      <c r="I241" t="s">
        <v>13</v>
      </c>
    </row>
    <row r="242" spans="1:9" x14ac:dyDescent="0.3">
      <c r="A242" t="s">
        <v>10</v>
      </c>
      <c r="B242" t="s">
        <v>9</v>
      </c>
      <c r="C242">
        <v>58</v>
      </c>
      <c r="D242">
        <v>17.8</v>
      </c>
      <c r="E242">
        <v>181</v>
      </c>
      <c r="F242">
        <v>3700</v>
      </c>
      <c r="G242" t="s">
        <v>11</v>
      </c>
      <c r="H242" t="s">
        <v>29</v>
      </c>
      <c r="I242" t="s">
        <v>13</v>
      </c>
    </row>
    <row r="243" spans="1:9" x14ac:dyDescent="0.3">
      <c r="A243" t="s">
        <v>10</v>
      </c>
      <c r="B243" t="s">
        <v>9</v>
      </c>
      <c r="C243">
        <v>46.4</v>
      </c>
      <c r="D243">
        <v>18.600000000000001</v>
      </c>
      <c r="E243">
        <v>190</v>
      </c>
      <c r="F243">
        <v>3450</v>
      </c>
      <c r="G243" t="s">
        <v>11</v>
      </c>
      <c r="H243" t="s">
        <v>31</v>
      </c>
      <c r="I243" t="s">
        <v>13</v>
      </c>
    </row>
    <row r="244" spans="1:9" x14ac:dyDescent="0.3">
      <c r="A244" t="s">
        <v>10</v>
      </c>
      <c r="B244" t="s">
        <v>9</v>
      </c>
      <c r="C244">
        <v>49.2</v>
      </c>
      <c r="D244">
        <v>18.2</v>
      </c>
      <c r="E244">
        <v>195</v>
      </c>
      <c r="F244">
        <v>4400</v>
      </c>
      <c r="G244" t="s">
        <v>6</v>
      </c>
      <c r="H244" t="s">
        <v>32</v>
      </c>
      <c r="I244" t="s">
        <v>13</v>
      </c>
    </row>
    <row r="245" spans="1:9" x14ac:dyDescent="0.3">
      <c r="A245" t="s">
        <v>10</v>
      </c>
      <c r="B245" t="s">
        <v>9</v>
      </c>
      <c r="C245">
        <v>42.4</v>
      </c>
      <c r="D245">
        <v>17.3</v>
      </c>
      <c r="E245">
        <v>181</v>
      </c>
      <c r="F245">
        <v>3600</v>
      </c>
      <c r="G245" t="s">
        <v>11</v>
      </c>
      <c r="H245" t="s">
        <v>29</v>
      </c>
      <c r="I245" t="s">
        <v>13</v>
      </c>
    </row>
    <row r="246" spans="1:9" x14ac:dyDescent="0.3">
      <c r="A246" t="s">
        <v>10</v>
      </c>
      <c r="B246" t="s">
        <v>9</v>
      </c>
      <c r="C246">
        <v>48.5</v>
      </c>
      <c r="D246">
        <v>17.5</v>
      </c>
      <c r="E246">
        <v>191</v>
      </c>
      <c r="F246">
        <v>3400</v>
      </c>
      <c r="G246" t="s">
        <v>6</v>
      </c>
      <c r="H246" t="s">
        <v>31</v>
      </c>
      <c r="I246" t="s">
        <v>13</v>
      </c>
    </row>
    <row r="247" spans="1:9" x14ac:dyDescent="0.3">
      <c r="A247" t="s">
        <v>10</v>
      </c>
      <c r="B247" t="s">
        <v>9</v>
      </c>
      <c r="C247">
        <v>43.2</v>
      </c>
      <c r="D247">
        <v>16.600000000000001</v>
      </c>
      <c r="E247">
        <v>187</v>
      </c>
      <c r="F247">
        <v>2900</v>
      </c>
      <c r="G247" t="s">
        <v>11</v>
      </c>
      <c r="H247" t="s">
        <v>30</v>
      </c>
      <c r="I247" t="s">
        <v>13</v>
      </c>
    </row>
    <row r="248" spans="1:9" x14ac:dyDescent="0.3">
      <c r="A248" t="s">
        <v>10</v>
      </c>
      <c r="B248" t="s">
        <v>9</v>
      </c>
      <c r="C248">
        <v>50.6</v>
      </c>
      <c r="D248">
        <v>19.399999999999999</v>
      </c>
      <c r="E248">
        <v>193</v>
      </c>
      <c r="F248">
        <v>3800</v>
      </c>
      <c r="G248" t="s">
        <v>6</v>
      </c>
      <c r="H248" t="s">
        <v>31</v>
      </c>
      <c r="I248" t="s">
        <v>13</v>
      </c>
    </row>
    <row r="249" spans="1:9" x14ac:dyDescent="0.3">
      <c r="A249" t="s">
        <v>10</v>
      </c>
      <c r="B249" t="s">
        <v>9</v>
      </c>
      <c r="C249">
        <v>46.7</v>
      </c>
      <c r="D249">
        <v>17.899999999999999</v>
      </c>
      <c r="E249">
        <v>195</v>
      </c>
      <c r="F249">
        <v>3300</v>
      </c>
      <c r="G249" t="s">
        <v>11</v>
      </c>
      <c r="H249" t="s">
        <v>32</v>
      </c>
      <c r="I249" t="s">
        <v>13</v>
      </c>
    </row>
    <row r="250" spans="1:9" x14ac:dyDescent="0.3">
      <c r="A250" t="s">
        <v>10</v>
      </c>
      <c r="B250" t="s">
        <v>9</v>
      </c>
      <c r="C250">
        <v>52</v>
      </c>
      <c r="D250">
        <v>19</v>
      </c>
      <c r="E250">
        <v>197</v>
      </c>
      <c r="F250">
        <v>4150</v>
      </c>
      <c r="G250" t="s">
        <v>6</v>
      </c>
      <c r="H250" t="s">
        <v>32</v>
      </c>
      <c r="I250" t="s">
        <v>13</v>
      </c>
    </row>
    <row r="251" spans="1:9" x14ac:dyDescent="0.3">
      <c r="A251" t="s">
        <v>10</v>
      </c>
      <c r="B251" t="s">
        <v>9</v>
      </c>
      <c r="C251">
        <v>50.5</v>
      </c>
      <c r="D251">
        <v>18.399999999999999</v>
      </c>
      <c r="E251">
        <v>200</v>
      </c>
      <c r="F251">
        <v>3400</v>
      </c>
      <c r="G251" t="s">
        <v>11</v>
      </c>
      <c r="H251" t="s">
        <v>33</v>
      </c>
      <c r="I251" t="s">
        <v>13</v>
      </c>
    </row>
    <row r="252" spans="1:9" x14ac:dyDescent="0.3">
      <c r="A252" t="s">
        <v>10</v>
      </c>
      <c r="B252" t="s">
        <v>9</v>
      </c>
      <c r="C252">
        <v>49.5</v>
      </c>
      <c r="D252">
        <v>19</v>
      </c>
      <c r="E252">
        <v>200</v>
      </c>
      <c r="F252">
        <v>3800</v>
      </c>
      <c r="G252" t="s">
        <v>6</v>
      </c>
      <c r="H252" t="s">
        <v>33</v>
      </c>
      <c r="I252" t="s">
        <v>13</v>
      </c>
    </row>
    <row r="253" spans="1:9" x14ac:dyDescent="0.3">
      <c r="A253" t="s">
        <v>10</v>
      </c>
      <c r="B253" t="s">
        <v>9</v>
      </c>
      <c r="C253">
        <v>46.4</v>
      </c>
      <c r="D253">
        <v>17.8</v>
      </c>
      <c r="E253">
        <v>191</v>
      </c>
      <c r="F253">
        <v>3700</v>
      </c>
      <c r="G253" t="s">
        <v>11</v>
      </c>
      <c r="H253" t="s">
        <v>31</v>
      </c>
      <c r="I253" t="s">
        <v>13</v>
      </c>
    </row>
    <row r="254" spans="1:9" x14ac:dyDescent="0.3">
      <c r="A254" t="s">
        <v>10</v>
      </c>
      <c r="B254" t="s">
        <v>9</v>
      </c>
      <c r="C254">
        <v>52.8</v>
      </c>
      <c r="D254">
        <v>20</v>
      </c>
      <c r="E254">
        <v>205</v>
      </c>
      <c r="F254">
        <v>4550</v>
      </c>
      <c r="G254" t="s">
        <v>6</v>
      </c>
      <c r="H254" t="s">
        <v>34</v>
      </c>
      <c r="I254" t="s">
        <v>13</v>
      </c>
    </row>
    <row r="255" spans="1:9" x14ac:dyDescent="0.3">
      <c r="A255" t="s">
        <v>10</v>
      </c>
      <c r="B255" t="s">
        <v>9</v>
      </c>
      <c r="C255">
        <v>40.9</v>
      </c>
      <c r="D255">
        <v>16.600000000000001</v>
      </c>
      <c r="E255">
        <v>187</v>
      </c>
      <c r="F255">
        <v>3200</v>
      </c>
      <c r="G255" t="s">
        <v>11</v>
      </c>
      <c r="H255" t="s">
        <v>30</v>
      </c>
      <c r="I255" t="s">
        <v>13</v>
      </c>
    </row>
    <row r="256" spans="1:9" x14ac:dyDescent="0.3">
      <c r="A256" t="s">
        <v>10</v>
      </c>
      <c r="B256" t="s">
        <v>9</v>
      </c>
      <c r="C256">
        <v>54.2</v>
      </c>
      <c r="D256">
        <v>20.8</v>
      </c>
      <c r="E256">
        <v>201</v>
      </c>
      <c r="F256">
        <v>4300</v>
      </c>
      <c r="G256" t="s">
        <v>6</v>
      </c>
      <c r="H256" t="s">
        <v>33</v>
      </c>
      <c r="I256" t="s">
        <v>13</v>
      </c>
    </row>
    <row r="257" spans="1:9" x14ac:dyDescent="0.3">
      <c r="A257" t="s">
        <v>10</v>
      </c>
      <c r="B257" t="s">
        <v>9</v>
      </c>
      <c r="C257">
        <v>42.5</v>
      </c>
      <c r="D257">
        <v>16.7</v>
      </c>
      <c r="E257">
        <v>187</v>
      </c>
      <c r="F257">
        <v>3350</v>
      </c>
      <c r="G257" t="s">
        <v>11</v>
      </c>
      <c r="H257" t="s">
        <v>30</v>
      </c>
      <c r="I257" t="s">
        <v>13</v>
      </c>
    </row>
    <row r="258" spans="1:9" x14ac:dyDescent="0.3">
      <c r="A258" t="s">
        <v>10</v>
      </c>
      <c r="B258" t="s">
        <v>9</v>
      </c>
      <c r="C258">
        <v>51</v>
      </c>
      <c r="D258">
        <v>18.8</v>
      </c>
      <c r="E258">
        <v>203</v>
      </c>
      <c r="F258">
        <v>4100</v>
      </c>
      <c r="G258" t="s">
        <v>6</v>
      </c>
      <c r="H258" t="s">
        <v>33</v>
      </c>
      <c r="I258" t="s">
        <v>13</v>
      </c>
    </row>
    <row r="259" spans="1:9" x14ac:dyDescent="0.3">
      <c r="A259" t="s">
        <v>10</v>
      </c>
      <c r="B259" t="s">
        <v>9</v>
      </c>
      <c r="C259">
        <v>49.7</v>
      </c>
      <c r="D259">
        <v>18.600000000000001</v>
      </c>
      <c r="E259">
        <v>195</v>
      </c>
      <c r="F259">
        <v>3600</v>
      </c>
      <c r="G259" t="s">
        <v>6</v>
      </c>
      <c r="H259" t="s">
        <v>32</v>
      </c>
      <c r="I259" t="s">
        <v>13</v>
      </c>
    </row>
    <row r="260" spans="1:9" x14ac:dyDescent="0.3">
      <c r="A260" t="s">
        <v>10</v>
      </c>
      <c r="B260" t="s">
        <v>9</v>
      </c>
      <c r="C260">
        <v>47.5</v>
      </c>
      <c r="D260">
        <v>16.8</v>
      </c>
      <c r="E260">
        <v>199</v>
      </c>
      <c r="F260">
        <v>3900</v>
      </c>
      <c r="G260" t="s">
        <v>11</v>
      </c>
      <c r="H260" t="s">
        <v>32</v>
      </c>
      <c r="I260" t="s">
        <v>13</v>
      </c>
    </row>
    <row r="261" spans="1:9" x14ac:dyDescent="0.3">
      <c r="A261" t="s">
        <v>10</v>
      </c>
      <c r="B261" t="s">
        <v>9</v>
      </c>
      <c r="C261">
        <v>47.6</v>
      </c>
      <c r="D261">
        <v>18.3</v>
      </c>
      <c r="E261">
        <v>195</v>
      </c>
      <c r="F261">
        <v>3850</v>
      </c>
      <c r="G261" t="s">
        <v>11</v>
      </c>
      <c r="H261" t="s">
        <v>32</v>
      </c>
      <c r="I261" t="s">
        <v>13</v>
      </c>
    </row>
    <row r="262" spans="1:9" x14ac:dyDescent="0.3">
      <c r="A262" t="s">
        <v>10</v>
      </c>
      <c r="B262" t="s">
        <v>9</v>
      </c>
      <c r="C262">
        <v>52</v>
      </c>
      <c r="D262">
        <v>20.7</v>
      </c>
      <c r="E262">
        <v>210</v>
      </c>
      <c r="F262">
        <v>4800</v>
      </c>
      <c r="G262" t="s">
        <v>6</v>
      </c>
      <c r="H262" t="s">
        <v>35</v>
      </c>
      <c r="I262" t="s">
        <v>13</v>
      </c>
    </row>
    <row r="263" spans="1:9" x14ac:dyDescent="0.3">
      <c r="A263" t="s">
        <v>10</v>
      </c>
      <c r="B263" t="s">
        <v>9</v>
      </c>
      <c r="C263">
        <v>46.9</v>
      </c>
      <c r="D263">
        <v>16.600000000000001</v>
      </c>
      <c r="E263">
        <v>192</v>
      </c>
      <c r="F263">
        <v>2700</v>
      </c>
      <c r="G263" t="s">
        <v>11</v>
      </c>
      <c r="H263" t="s">
        <v>31</v>
      </c>
      <c r="I263" t="s">
        <v>13</v>
      </c>
    </row>
    <row r="264" spans="1:9" x14ac:dyDescent="0.3">
      <c r="A264" t="s">
        <v>10</v>
      </c>
      <c r="B264" t="s">
        <v>9</v>
      </c>
      <c r="C264">
        <v>53.5</v>
      </c>
      <c r="D264">
        <v>19.899999999999999</v>
      </c>
      <c r="E264">
        <v>205</v>
      </c>
      <c r="F264">
        <v>4500</v>
      </c>
      <c r="G264" t="s">
        <v>6</v>
      </c>
      <c r="H264" t="s">
        <v>34</v>
      </c>
      <c r="I264" t="s">
        <v>13</v>
      </c>
    </row>
    <row r="265" spans="1:9" x14ac:dyDescent="0.3">
      <c r="A265" t="s">
        <v>10</v>
      </c>
      <c r="B265" t="s">
        <v>9</v>
      </c>
      <c r="C265">
        <v>49</v>
      </c>
      <c r="D265">
        <v>19.5</v>
      </c>
      <c r="E265">
        <v>210</v>
      </c>
      <c r="F265">
        <v>3950</v>
      </c>
      <c r="G265" t="s">
        <v>6</v>
      </c>
      <c r="H265" t="s">
        <v>35</v>
      </c>
      <c r="I265" t="s">
        <v>13</v>
      </c>
    </row>
    <row r="266" spans="1:9" x14ac:dyDescent="0.3">
      <c r="A266" t="s">
        <v>10</v>
      </c>
      <c r="B266" t="s">
        <v>9</v>
      </c>
      <c r="C266">
        <v>46.2</v>
      </c>
      <c r="D266">
        <v>17.5</v>
      </c>
      <c r="E266">
        <v>187</v>
      </c>
      <c r="F266">
        <v>3650</v>
      </c>
      <c r="G266" t="s">
        <v>11</v>
      </c>
      <c r="H266" t="s">
        <v>30</v>
      </c>
      <c r="I266" t="s">
        <v>13</v>
      </c>
    </row>
    <row r="267" spans="1:9" x14ac:dyDescent="0.3">
      <c r="A267" t="s">
        <v>10</v>
      </c>
      <c r="B267" t="s">
        <v>9</v>
      </c>
      <c r="C267">
        <v>50.9</v>
      </c>
      <c r="D267">
        <v>19.100000000000001</v>
      </c>
      <c r="E267">
        <v>196</v>
      </c>
      <c r="F267">
        <v>3550</v>
      </c>
      <c r="G267" t="s">
        <v>6</v>
      </c>
      <c r="H267" t="s">
        <v>32</v>
      </c>
      <c r="I267" t="s">
        <v>13</v>
      </c>
    </row>
    <row r="268" spans="1:9" x14ac:dyDescent="0.3">
      <c r="A268" t="s">
        <v>10</v>
      </c>
      <c r="B268" t="s">
        <v>9</v>
      </c>
      <c r="C268">
        <v>45.5</v>
      </c>
      <c r="D268">
        <v>17</v>
      </c>
      <c r="E268">
        <v>196</v>
      </c>
      <c r="F268">
        <v>3500</v>
      </c>
      <c r="G268" t="s">
        <v>11</v>
      </c>
      <c r="H268" t="s">
        <v>32</v>
      </c>
      <c r="I268" t="s">
        <v>13</v>
      </c>
    </row>
    <row r="269" spans="1:9" x14ac:dyDescent="0.3">
      <c r="A269" t="s">
        <v>10</v>
      </c>
      <c r="B269" t="s">
        <v>9</v>
      </c>
      <c r="C269">
        <v>50.9</v>
      </c>
      <c r="D269">
        <v>17.899999999999999</v>
      </c>
      <c r="E269">
        <v>196</v>
      </c>
      <c r="F269">
        <v>3675</v>
      </c>
      <c r="G269" t="s">
        <v>11</v>
      </c>
      <c r="H269" t="s">
        <v>32</v>
      </c>
      <c r="I269" t="s">
        <v>13</v>
      </c>
    </row>
    <row r="270" spans="1:9" x14ac:dyDescent="0.3">
      <c r="A270" t="s">
        <v>10</v>
      </c>
      <c r="B270" t="s">
        <v>9</v>
      </c>
      <c r="C270">
        <v>50.8</v>
      </c>
      <c r="D270">
        <v>18.5</v>
      </c>
      <c r="E270">
        <v>201</v>
      </c>
      <c r="F270">
        <v>4450</v>
      </c>
      <c r="G270" t="s">
        <v>6</v>
      </c>
      <c r="H270" t="s">
        <v>33</v>
      </c>
      <c r="I270" t="s">
        <v>13</v>
      </c>
    </row>
    <row r="271" spans="1:9" x14ac:dyDescent="0.3">
      <c r="A271" t="s">
        <v>10</v>
      </c>
      <c r="B271" t="s">
        <v>9</v>
      </c>
      <c r="C271">
        <v>50.1</v>
      </c>
      <c r="D271">
        <v>17.899999999999999</v>
      </c>
      <c r="E271">
        <v>190</v>
      </c>
      <c r="F271">
        <v>3400</v>
      </c>
      <c r="G271" t="s">
        <v>11</v>
      </c>
      <c r="H271" t="s">
        <v>31</v>
      </c>
      <c r="I271" t="s">
        <v>13</v>
      </c>
    </row>
    <row r="272" spans="1:9" x14ac:dyDescent="0.3">
      <c r="A272" t="s">
        <v>10</v>
      </c>
      <c r="B272" t="s">
        <v>9</v>
      </c>
      <c r="C272">
        <v>49</v>
      </c>
      <c r="D272">
        <v>19.600000000000001</v>
      </c>
      <c r="E272">
        <v>212</v>
      </c>
      <c r="F272">
        <v>4300</v>
      </c>
      <c r="G272" t="s">
        <v>6</v>
      </c>
      <c r="H272" t="s">
        <v>35</v>
      </c>
      <c r="I272" t="s">
        <v>13</v>
      </c>
    </row>
    <row r="273" spans="1:9" x14ac:dyDescent="0.3">
      <c r="A273" t="s">
        <v>10</v>
      </c>
      <c r="B273" t="s">
        <v>9</v>
      </c>
      <c r="C273">
        <v>51.5</v>
      </c>
      <c r="D273">
        <v>18.7</v>
      </c>
      <c r="E273">
        <v>187</v>
      </c>
      <c r="F273">
        <v>3250</v>
      </c>
      <c r="G273" t="s">
        <v>6</v>
      </c>
      <c r="H273" t="s">
        <v>30</v>
      </c>
      <c r="I273" t="s">
        <v>13</v>
      </c>
    </row>
    <row r="274" spans="1:9" x14ac:dyDescent="0.3">
      <c r="A274" t="s">
        <v>10</v>
      </c>
      <c r="B274" t="s">
        <v>9</v>
      </c>
      <c r="C274">
        <v>49.8</v>
      </c>
      <c r="D274">
        <v>17.3</v>
      </c>
      <c r="E274">
        <v>198</v>
      </c>
      <c r="F274">
        <v>3675</v>
      </c>
      <c r="G274" t="s">
        <v>11</v>
      </c>
      <c r="H274" t="s">
        <v>32</v>
      </c>
      <c r="I274" t="s">
        <v>13</v>
      </c>
    </row>
    <row r="275" spans="1:9" x14ac:dyDescent="0.3">
      <c r="A275" t="s">
        <v>10</v>
      </c>
      <c r="B275" t="s">
        <v>9</v>
      </c>
      <c r="C275">
        <v>48.1</v>
      </c>
      <c r="D275">
        <v>16.399999999999999</v>
      </c>
      <c r="E275">
        <v>199</v>
      </c>
      <c r="F275">
        <v>3325</v>
      </c>
      <c r="G275" t="s">
        <v>11</v>
      </c>
      <c r="H275" t="s">
        <v>32</v>
      </c>
      <c r="I275" t="s">
        <v>13</v>
      </c>
    </row>
    <row r="276" spans="1:9" x14ac:dyDescent="0.3">
      <c r="A276" t="s">
        <v>10</v>
      </c>
      <c r="B276" t="s">
        <v>9</v>
      </c>
      <c r="C276">
        <v>51.4</v>
      </c>
      <c r="D276">
        <v>19</v>
      </c>
      <c r="E276">
        <v>201</v>
      </c>
      <c r="F276">
        <v>3950</v>
      </c>
      <c r="G276" t="s">
        <v>6</v>
      </c>
      <c r="H276" t="s">
        <v>33</v>
      </c>
      <c r="I276" t="s">
        <v>13</v>
      </c>
    </row>
    <row r="277" spans="1:9" x14ac:dyDescent="0.3">
      <c r="A277" t="s">
        <v>10</v>
      </c>
      <c r="B277" t="s">
        <v>9</v>
      </c>
      <c r="C277">
        <v>45.7</v>
      </c>
      <c r="D277">
        <v>17.3</v>
      </c>
      <c r="E277">
        <v>193</v>
      </c>
      <c r="F277">
        <v>3600</v>
      </c>
      <c r="G277" t="s">
        <v>11</v>
      </c>
      <c r="H277" t="s">
        <v>31</v>
      </c>
      <c r="I277" t="s">
        <v>13</v>
      </c>
    </row>
    <row r="278" spans="1:9" x14ac:dyDescent="0.3">
      <c r="A278" t="s">
        <v>10</v>
      </c>
      <c r="B278" t="s">
        <v>9</v>
      </c>
      <c r="C278">
        <v>50.7</v>
      </c>
      <c r="D278">
        <v>19.7</v>
      </c>
      <c r="E278">
        <v>203</v>
      </c>
      <c r="F278">
        <v>4050</v>
      </c>
      <c r="G278" t="s">
        <v>6</v>
      </c>
      <c r="H278" t="s">
        <v>33</v>
      </c>
      <c r="I278" t="s">
        <v>13</v>
      </c>
    </row>
    <row r="279" spans="1:9" x14ac:dyDescent="0.3">
      <c r="A279" t="s">
        <v>10</v>
      </c>
      <c r="B279" t="s">
        <v>9</v>
      </c>
      <c r="C279">
        <v>42.5</v>
      </c>
      <c r="D279">
        <v>17.3</v>
      </c>
      <c r="E279">
        <v>187</v>
      </c>
      <c r="F279">
        <v>3350</v>
      </c>
      <c r="G279" t="s">
        <v>11</v>
      </c>
      <c r="H279" t="s">
        <v>30</v>
      </c>
      <c r="I279" t="s">
        <v>13</v>
      </c>
    </row>
    <row r="280" spans="1:9" x14ac:dyDescent="0.3">
      <c r="A280" t="s">
        <v>10</v>
      </c>
      <c r="B280" t="s">
        <v>9</v>
      </c>
      <c r="C280">
        <v>52.2</v>
      </c>
      <c r="D280">
        <v>18.8</v>
      </c>
      <c r="E280">
        <v>197</v>
      </c>
      <c r="F280">
        <v>3450</v>
      </c>
      <c r="G280" t="s">
        <v>6</v>
      </c>
      <c r="H280" t="s">
        <v>32</v>
      </c>
      <c r="I280" t="s">
        <v>13</v>
      </c>
    </row>
    <row r="281" spans="1:9" x14ac:dyDescent="0.3">
      <c r="A281" t="s">
        <v>10</v>
      </c>
      <c r="B281" t="s">
        <v>9</v>
      </c>
      <c r="C281">
        <v>45.2</v>
      </c>
      <c r="D281">
        <v>16.600000000000001</v>
      </c>
      <c r="E281">
        <v>191</v>
      </c>
      <c r="F281">
        <v>3250</v>
      </c>
      <c r="G281" t="s">
        <v>11</v>
      </c>
      <c r="H281" t="s">
        <v>31</v>
      </c>
      <c r="I281" t="s">
        <v>13</v>
      </c>
    </row>
    <row r="282" spans="1:9" x14ac:dyDescent="0.3">
      <c r="A282" t="s">
        <v>10</v>
      </c>
      <c r="B282" t="s">
        <v>9</v>
      </c>
      <c r="C282">
        <v>49.3</v>
      </c>
      <c r="D282">
        <v>19.899999999999999</v>
      </c>
      <c r="E282">
        <v>203</v>
      </c>
      <c r="F282">
        <v>4050</v>
      </c>
      <c r="G282" t="s">
        <v>6</v>
      </c>
      <c r="H282" t="s">
        <v>33</v>
      </c>
      <c r="I282" t="s">
        <v>13</v>
      </c>
    </row>
    <row r="283" spans="1:9" x14ac:dyDescent="0.3">
      <c r="A283" t="s">
        <v>10</v>
      </c>
      <c r="B283" t="s">
        <v>9</v>
      </c>
      <c r="C283">
        <v>50.2</v>
      </c>
      <c r="D283">
        <v>18.8</v>
      </c>
      <c r="E283">
        <v>202</v>
      </c>
      <c r="F283">
        <v>3800</v>
      </c>
      <c r="G283" t="s">
        <v>6</v>
      </c>
      <c r="H283" t="s">
        <v>33</v>
      </c>
      <c r="I283" t="s">
        <v>13</v>
      </c>
    </row>
    <row r="284" spans="1:9" x14ac:dyDescent="0.3">
      <c r="A284" t="s">
        <v>10</v>
      </c>
      <c r="B284" t="s">
        <v>9</v>
      </c>
      <c r="C284">
        <v>45.6</v>
      </c>
      <c r="D284">
        <v>19.399999999999999</v>
      </c>
      <c r="E284">
        <v>194</v>
      </c>
      <c r="F284">
        <v>3525</v>
      </c>
      <c r="G284" t="s">
        <v>11</v>
      </c>
      <c r="H284" t="s">
        <v>31</v>
      </c>
      <c r="I284" t="s">
        <v>13</v>
      </c>
    </row>
    <row r="285" spans="1:9" x14ac:dyDescent="0.3">
      <c r="A285" t="s">
        <v>10</v>
      </c>
      <c r="B285" t="s">
        <v>9</v>
      </c>
      <c r="C285">
        <v>51.9</v>
      </c>
      <c r="D285">
        <v>19.5</v>
      </c>
      <c r="E285">
        <v>206</v>
      </c>
      <c r="F285">
        <v>3950</v>
      </c>
      <c r="G285" t="s">
        <v>6</v>
      </c>
      <c r="H285" t="s">
        <v>34</v>
      </c>
      <c r="I285" t="s">
        <v>13</v>
      </c>
    </row>
    <row r="286" spans="1:9" x14ac:dyDescent="0.3">
      <c r="A286" t="s">
        <v>10</v>
      </c>
      <c r="B286" t="s">
        <v>9</v>
      </c>
      <c r="C286">
        <v>46.8</v>
      </c>
      <c r="D286">
        <v>16.5</v>
      </c>
      <c r="E286">
        <v>189</v>
      </c>
      <c r="F286">
        <v>3650</v>
      </c>
      <c r="G286" t="s">
        <v>11</v>
      </c>
      <c r="H286" t="s">
        <v>30</v>
      </c>
      <c r="I286" t="s">
        <v>13</v>
      </c>
    </row>
    <row r="287" spans="1:9" x14ac:dyDescent="0.3">
      <c r="A287" t="s">
        <v>10</v>
      </c>
      <c r="B287" t="s">
        <v>9</v>
      </c>
      <c r="C287">
        <v>45.7</v>
      </c>
      <c r="D287">
        <v>17</v>
      </c>
      <c r="E287">
        <v>195</v>
      </c>
      <c r="F287">
        <v>3650</v>
      </c>
      <c r="G287" t="s">
        <v>11</v>
      </c>
      <c r="H287" t="s">
        <v>32</v>
      </c>
      <c r="I287" t="s">
        <v>13</v>
      </c>
    </row>
    <row r="288" spans="1:9" x14ac:dyDescent="0.3">
      <c r="A288" t="s">
        <v>10</v>
      </c>
      <c r="B288" t="s">
        <v>9</v>
      </c>
      <c r="C288">
        <v>55.8</v>
      </c>
      <c r="D288">
        <v>19.8</v>
      </c>
      <c r="E288">
        <v>207</v>
      </c>
      <c r="F288">
        <v>4000</v>
      </c>
      <c r="G288" t="s">
        <v>6</v>
      </c>
      <c r="H288" t="s">
        <v>34</v>
      </c>
      <c r="I288" t="s">
        <v>13</v>
      </c>
    </row>
    <row r="289" spans="1:9" x14ac:dyDescent="0.3">
      <c r="A289" t="s">
        <v>10</v>
      </c>
      <c r="B289" t="s">
        <v>9</v>
      </c>
      <c r="C289">
        <v>43.5</v>
      </c>
      <c r="D289">
        <v>18.100000000000001</v>
      </c>
      <c r="E289">
        <v>202</v>
      </c>
      <c r="F289">
        <v>3400</v>
      </c>
      <c r="G289" t="s">
        <v>11</v>
      </c>
      <c r="H289" t="s">
        <v>33</v>
      </c>
      <c r="I289" t="s">
        <v>13</v>
      </c>
    </row>
    <row r="290" spans="1:9" x14ac:dyDescent="0.3">
      <c r="A290" t="s">
        <v>10</v>
      </c>
      <c r="B290" t="s">
        <v>9</v>
      </c>
      <c r="C290">
        <v>49.6</v>
      </c>
      <c r="D290">
        <v>18.2</v>
      </c>
      <c r="E290">
        <v>193</v>
      </c>
      <c r="F290">
        <v>3775</v>
      </c>
      <c r="G290" t="s">
        <v>6</v>
      </c>
      <c r="H290" t="s">
        <v>31</v>
      </c>
      <c r="I290" t="s">
        <v>13</v>
      </c>
    </row>
    <row r="291" spans="1:9" x14ac:dyDescent="0.3">
      <c r="A291" t="s">
        <v>10</v>
      </c>
      <c r="B291" t="s">
        <v>9</v>
      </c>
      <c r="C291">
        <v>50.8</v>
      </c>
      <c r="D291">
        <v>19</v>
      </c>
      <c r="E291">
        <v>210</v>
      </c>
      <c r="F291">
        <v>4100</v>
      </c>
      <c r="G291" t="s">
        <v>6</v>
      </c>
      <c r="H291" t="s">
        <v>35</v>
      </c>
      <c r="I291" t="s">
        <v>13</v>
      </c>
    </row>
    <row r="292" spans="1:9" x14ac:dyDescent="0.3">
      <c r="A292" t="s">
        <v>10</v>
      </c>
      <c r="B292" t="s">
        <v>9</v>
      </c>
      <c r="C292">
        <v>50.2</v>
      </c>
      <c r="D292">
        <v>18.7</v>
      </c>
      <c r="E292">
        <v>198</v>
      </c>
      <c r="F292">
        <v>3775</v>
      </c>
      <c r="G292" t="s">
        <v>11</v>
      </c>
      <c r="H292" t="s">
        <v>32</v>
      </c>
      <c r="I292" t="s">
        <v>13</v>
      </c>
    </row>
    <row r="293" spans="1:9" x14ac:dyDescent="0.3">
      <c r="A293" t="s">
        <v>4</v>
      </c>
      <c r="B293" t="s">
        <v>8</v>
      </c>
      <c r="C293">
        <v>39.1</v>
      </c>
      <c r="D293">
        <v>18.7</v>
      </c>
      <c r="E293">
        <v>181</v>
      </c>
      <c r="F293">
        <v>3750</v>
      </c>
      <c r="G293" t="s">
        <v>6</v>
      </c>
      <c r="H293" t="s">
        <v>29</v>
      </c>
      <c r="I293" t="s">
        <v>13</v>
      </c>
    </row>
    <row r="294" spans="1:9" x14ac:dyDescent="0.3">
      <c r="A294" t="s">
        <v>4</v>
      </c>
      <c r="B294" t="s">
        <v>8</v>
      </c>
      <c r="C294">
        <v>39.5</v>
      </c>
      <c r="D294">
        <v>17.399999999999999</v>
      </c>
      <c r="E294">
        <v>186</v>
      </c>
      <c r="F294">
        <v>3800</v>
      </c>
      <c r="G294" t="s">
        <v>11</v>
      </c>
      <c r="H294" t="s">
        <v>30</v>
      </c>
      <c r="I294" t="s">
        <v>13</v>
      </c>
    </row>
    <row r="295" spans="1:9" x14ac:dyDescent="0.3">
      <c r="A295" t="s">
        <v>4</v>
      </c>
      <c r="B295" t="s">
        <v>8</v>
      </c>
      <c r="C295">
        <v>40.299999999999997</v>
      </c>
      <c r="D295">
        <v>18</v>
      </c>
      <c r="E295">
        <v>195</v>
      </c>
      <c r="F295">
        <v>3250</v>
      </c>
      <c r="G295" t="s">
        <v>11</v>
      </c>
      <c r="H295" t="s">
        <v>32</v>
      </c>
      <c r="I295" t="s">
        <v>13</v>
      </c>
    </row>
    <row r="296" spans="1:9" x14ac:dyDescent="0.3">
      <c r="A296" t="s">
        <v>4</v>
      </c>
      <c r="B296" t="s">
        <v>8</v>
      </c>
      <c r="C296">
        <v>36.700000000000003</v>
      </c>
      <c r="D296">
        <v>19.3</v>
      </c>
      <c r="E296">
        <v>193</v>
      </c>
      <c r="F296">
        <v>3450</v>
      </c>
      <c r="G296" t="s">
        <v>11</v>
      </c>
      <c r="H296" t="s">
        <v>31</v>
      </c>
      <c r="I296" t="s">
        <v>13</v>
      </c>
    </row>
    <row r="297" spans="1:9" x14ac:dyDescent="0.3">
      <c r="A297" t="s">
        <v>4</v>
      </c>
      <c r="B297" t="s">
        <v>8</v>
      </c>
      <c r="C297">
        <v>39.299999999999997</v>
      </c>
      <c r="D297">
        <v>20.6</v>
      </c>
      <c r="E297">
        <v>190</v>
      </c>
      <c r="F297">
        <v>3650</v>
      </c>
      <c r="G297" t="s">
        <v>6</v>
      </c>
      <c r="H297" t="s">
        <v>31</v>
      </c>
      <c r="I297" t="s">
        <v>13</v>
      </c>
    </row>
    <row r="298" spans="1:9" x14ac:dyDescent="0.3">
      <c r="A298" t="s">
        <v>4</v>
      </c>
      <c r="B298" t="s">
        <v>8</v>
      </c>
      <c r="C298">
        <v>38.9</v>
      </c>
      <c r="D298">
        <v>17.8</v>
      </c>
      <c r="E298">
        <v>181</v>
      </c>
      <c r="F298">
        <v>3625</v>
      </c>
      <c r="G298" t="s">
        <v>11</v>
      </c>
      <c r="H298" t="s">
        <v>29</v>
      </c>
      <c r="I298" t="s">
        <v>13</v>
      </c>
    </row>
    <row r="299" spans="1:9" x14ac:dyDescent="0.3">
      <c r="A299" t="s">
        <v>4</v>
      </c>
      <c r="B299" t="s">
        <v>8</v>
      </c>
      <c r="C299">
        <v>39.200000000000003</v>
      </c>
      <c r="D299">
        <v>19.600000000000001</v>
      </c>
      <c r="E299">
        <v>195</v>
      </c>
      <c r="F299">
        <v>4675</v>
      </c>
      <c r="G299" t="s">
        <v>6</v>
      </c>
      <c r="H299" t="s">
        <v>32</v>
      </c>
      <c r="I299" t="s">
        <v>13</v>
      </c>
    </row>
    <row r="300" spans="1:9" x14ac:dyDescent="0.3">
      <c r="A300" t="s">
        <v>4</v>
      </c>
      <c r="B300" t="s">
        <v>8</v>
      </c>
      <c r="C300">
        <v>34.1</v>
      </c>
      <c r="D300">
        <v>18.100000000000001</v>
      </c>
      <c r="E300">
        <v>193</v>
      </c>
      <c r="F300">
        <v>3475</v>
      </c>
      <c r="G300" t="s">
        <v>11</v>
      </c>
      <c r="H300" t="s">
        <v>31</v>
      </c>
      <c r="I300" t="s">
        <v>13</v>
      </c>
    </row>
    <row r="301" spans="1:9" x14ac:dyDescent="0.3">
      <c r="A301" t="s">
        <v>4</v>
      </c>
      <c r="B301" t="s">
        <v>8</v>
      </c>
      <c r="C301">
        <v>42</v>
      </c>
      <c r="D301">
        <v>20.2</v>
      </c>
      <c r="E301">
        <v>190</v>
      </c>
      <c r="F301">
        <v>4250</v>
      </c>
      <c r="G301" t="s">
        <v>11</v>
      </c>
      <c r="H301" t="s">
        <v>31</v>
      </c>
      <c r="I301" t="s">
        <v>13</v>
      </c>
    </row>
    <row r="302" spans="1:9" x14ac:dyDescent="0.3">
      <c r="A302" t="s">
        <v>4</v>
      </c>
      <c r="B302" t="s">
        <v>8</v>
      </c>
      <c r="C302">
        <v>37.799999999999997</v>
      </c>
      <c r="D302">
        <v>17.100000000000001</v>
      </c>
      <c r="E302">
        <v>186</v>
      </c>
      <c r="F302">
        <v>3300</v>
      </c>
      <c r="G302" t="s">
        <v>11</v>
      </c>
      <c r="H302" t="s">
        <v>30</v>
      </c>
      <c r="I302" t="s">
        <v>13</v>
      </c>
    </row>
    <row r="303" spans="1:9" x14ac:dyDescent="0.3">
      <c r="A303" t="s">
        <v>4</v>
      </c>
      <c r="B303" t="s">
        <v>8</v>
      </c>
      <c r="C303">
        <v>37.799999999999997</v>
      </c>
      <c r="D303">
        <v>17.3</v>
      </c>
      <c r="E303">
        <v>180</v>
      </c>
      <c r="F303">
        <v>3700</v>
      </c>
      <c r="G303" t="s">
        <v>11</v>
      </c>
      <c r="H303" t="s">
        <v>29</v>
      </c>
      <c r="I303" t="s">
        <v>13</v>
      </c>
    </row>
    <row r="304" spans="1:9" x14ac:dyDescent="0.3">
      <c r="A304" t="s">
        <v>4</v>
      </c>
      <c r="B304" t="s">
        <v>8</v>
      </c>
      <c r="C304">
        <v>41.1</v>
      </c>
      <c r="D304">
        <v>17.600000000000001</v>
      </c>
      <c r="E304">
        <v>182</v>
      </c>
      <c r="F304">
        <v>3200</v>
      </c>
      <c r="G304" t="s">
        <v>11</v>
      </c>
      <c r="H304" t="s">
        <v>29</v>
      </c>
      <c r="I304" t="s">
        <v>13</v>
      </c>
    </row>
    <row r="305" spans="1:9" x14ac:dyDescent="0.3">
      <c r="A305" t="s">
        <v>4</v>
      </c>
      <c r="B305" t="s">
        <v>8</v>
      </c>
      <c r="C305">
        <v>38.6</v>
      </c>
      <c r="D305">
        <v>21.2</v>
      </c>
      <c r="E305">
        <v>191</v>
      </c>
      <c r="F305">
        <v>3800</v>
      </c>
      <c r="G305" t="s">
        <v>6</v>
      </c>
      <c r="H305" t="s">
        <v>31</v>
      </c>
      <c r="I305" t="s">
        <v>13</v>
      </c>
    </row>
    <row r="306" spans="1:9" x14ac:dyDescent="0.3">
      <c r="A306" t="s">
        <v>4</v>
      </c>
      <c r="B306" t="s">
        <v>8</v>
      </c>
      <c r="C306">
        <v>34.6</v>
      </c>
      <c r="D306">
        <v>21.1</v>
      </c>
      <c r="E306">
        <v>198</v>
      </c>
      <c r="F306">
        <v>4400</v>
      </c>
      <c r="G306" t="s">
        <v>6</v>
      </c>
      <c r="H306" t="s">
        <v>32</v>
      </c>
      <c r="I306" t="s">
        <v>13</v>
      </c>
    </row>
    <row r="307" spans="1:9" x14ac:dyDescent="0.3">
      <c r="A307" t="s">
        <v>4</v>
      </c>
      <c r="B307" t="s">
        <v>8</v>
      </c>
      <c r="C307">
        <v>36.6</v>
      </c>
      <c r="D307">
        <v>17.8</v>
      </c>
      <c r="E307">
        <v>185</v>
      </c>
      <c r="F307">
        <v>3700</v>
      </c>
      <c r="G307" t="s">
        <v>11</v>
      </c>
      <c r="H307" t="s">
        <v>30</v>
      </c>
      <c r="I307" t="s">
        <v>13</v>
      </c>
    </row>
    <row r="308" spans="1:9" x14ac:dyDescent="0.3">
      <c r="A308" t="s">
        <v>4</v>
      </c>
      <c r="B308" t="s">
        <v>8</v>
      </c>
      <c r="C308">
        <v>38.700000000000003</v>
      </c>
      <c r="D308">
        <v>19</v>
      </c>
      <c r="E308">
        <v>195</v>
      </c>
      <c r="F308">
        <v>3450</v>
      </c>
      <c r="G308" t="s">
        <v>11</v>
      </c>
      <c r="H308" t="s">
        <v>32</v>
      </c>
      <c r="I308" t="s">
        <v>13</v>
      </c>
    </row>
    <row r="309" spans="1:9" x14ac:dyDescent="0.3">
      <c r="A309" t="s">
        <v>4</v>
      </c>
      <c r="B309" t="s">
        <v>8</v>
      </c>
      <c r="C309">
        <v>42.5</v>
      </c>
      <c r="D309">
        <v>20.7</v>
      </c>
      <c r="E309">
        <v>197</v>
      </c>
      <c r="F309">
        <v>4500</v>
      </c>
      <c r="G309" t="s">
        <v>6</v>
      </c>
      <c r="H309" t="s">
        <v>32</v>
      </c>
      <c r="I309" t="s">
        <v>13</v>
      </c>
    </row>
    <row r="310" spans="1:9" x14ac:dyDescent="0.3">
      <c r="A310" t="s">
        <v>4</v>
      </c>
      <c r="B310" t="s">
        <v>8</v>
      </c>
      <c r="C310">
        <v>34.4</v>
      </c>
      <c r="D310">
        <v>18.399999999999999</v>
      </c>
      <c r="E310">
        <v>184</v>
      </c>
      <c r="F310">
        <v>3325</v>
      </c>
      <c r="G310" t="s">
        <v>11</v>
      </c>
      <c r="H310" t="s">
        <v>29</v>
      </c>
      <c r="I310" t="s">
        <v>13</v>
      </c>
    </row>
    <row r="311" spans="1:9" x14ac:dyDescent="0.3">
      <c r="A311" t="s">
        <v>4</v>
      </c>
      <c r="B311" t="s">
        <v>8</v>
      </c>
      <c r="C311">
        <v>46</v>
      </c>
      <c r="D311">
        <v>21.5</v>
      </c>
      <c r="E311">
        <v>194</v>
      </c>
      <c r="F311">
        <v>4200</v>
      </c>
      <c r="G311" t="s">
        <v>6</v>
      </c>
      <c r="H311" t="s">
        <v>31</v>
      </c>
      <c r="I311" t="s">
        <v>13</v>
      </c>
    </row>
    <row r="312" spans="1:9" x14ac:dyDescent="0.3">
      <c r="A312" t="s">
        <v>4</v>
      </c>
      <c r="B312" t="s">
        <v>8</v>
      </c>
      <c r="C312">
        <v>35.9</v>
      </c>
      <c r="D312">
        <v>16.600000000000001</v>
      </c>
      <c r="E312">
        <v>190</v>
      </c>
      <c r="F312">
        <v>3050</v>
      </c>
      <c r="G312" t="s">
        <v>11</v>
      </c>
      <c r="H312" t="s">
        <v>31</v>
      </c>
      <c r="I312" t="s">
        <v>13</v>
      </c>
    </row>
    <row r="313" spans="1:9" x14ac:dyDescent="0.3">
      <c r="A313" t="s">
        <v>4</v>
      </c>
      <c r="B313" t="s">
        <v>8</v>
      </c>
      <c r="C313">
        <v>41.8</v>
      </c>
      <c r="D313">
        <v>19.399999999999999</v>
      </c>
      <c r="E313">
        <v>198</v>
      </c>
      <c r="F313">
        <v>4450</v>
      </c>
      <c r="G313" t="s">
        <v>6</v>
      </c>
      <c r="H313" t="s">
        <v>32</v>
      </c>
      <c r="I313" t="s">
        <v>13</v>
      </c>
    </row>
    <row r="314" spans="1:9" x14ac:dyDescent="0.3">
      <c r="A314" t="s">
        <v>4</v>
      </c>
      <c r="B314" t="s">
        <v>8</v>
      </c>
      <c r="C314">
        <v>33.5</v>
      </c>
      <c r="D314">
        <v>19</v>
      </c>
      <c r="E314">
        <v>190</v>
      </c>
      <c r="F314">
        <v>3600</v>
      </c>
      <c r="G314" t="s">
        <v>11</v>
      </c>
      <c r="H314" t="s">
        <v>31</v>
      </c>
      <c r="I314" t="s">
        <v>13</v>
      </c>
    </row>
    <row r="315" spans="1:9" x14ac:dyDescent="0.3">
      <c r="A315" t="s">
        <v>4</v>
      </c>
      <c r="B315" t="s">
        <v>8</v>
      </c>
      <c r="C315">
        <v>39.700000000000003</v>
      </c>
      <c r="D315">
        <v>18.399999999999999</v>
      </c>
      <c r="E315">
        <v>190</v>
      </c>
      <c r="F315">
        <v>3900</v>
      </c>
      <c r="G315" t="s">
        <v>6</v>
      </c>
      <c r="H315" t="s">
        <v>31</v>
      </c>
      <c r="I315" t="s">
        <v>13</v>
      </c>
    </row>
    <row r="316" spans="1:9" x14ac:dyDescent="0.3">
      <c r="A316" t="s">
        <v>4</v>
      </c>
      <c r="B316" t="s">
        <v>8</v>
      </c>
      <c r="C316">
        <v>39.6</v>
      </c>
      <c r="D316">
        <v>17.2</v>
      </c>
      <c r="E316">
        <v>196</v>
      </c>
      <c r="F316">
        <v>3550</v>
      </c>
      <c r="G316" t="s">
        <v>11</v>
      </c>
      <c r="H316" t="s">
        <v>32</v>
      </c>
      <c r="I316" t="s">
        <v>13</v>
      </c>
    </row>
    <row r="317" spans="1:9" x14ac:dyDescent="0.3">
      <c r="A317" t="s">
        <v>4</v>
      </c>
      <c r="B317" t="s">
        <v>8</v>
      </c>
      <c r="C317">
        <v>45.8</v>
      </c>
      <c r="D317">
        <v>18.899999999999999</v>
      </c>
      <c r="E317">
        <v>197</v>
      </c>
      <c r="F317">
        <v>4150</v>
      </c>
      <c r="G317" t="s">
        <v>6</v>
      </c>
      <c r="H317" t="s">
        <v>32</v>
      </c>
      <c r="I317" t="s">
        <v>13</v>
      </c>
    </row>
    <row r="318" spans="1:9" x14ac:dyDescent="0.3">
      <c r="A318" t="s">
        <v>4</v>
      </c>
      <c r="B318" t="s">
        <v>8</v>
      </c>
      <c r="C318">
        <v>35.5</v>
      </c>
      <c r="D318">
        <v>17.5</v>
      </c>
      <c r="E318">
        <v>190</v>
      </c>
      <c r="F318">
        <v>3700</v>
      </c>
      <c r="G318" t="s">
        <v>11</v>
      </c>
      <c r="H318" t="s">
        <v>31</v>
      </c>
      <c r="I318" t="s">
        <v>13</v>
      </c>
    </row>
    <row r="319" spans="1:9" x14ac:dyDescent="0.3">
      <c r="A319" t="s">
        <v>4</v>
      </c>
      <c r="B319" t="s">
        <v>8</v>
      </c>
      <c r="C319">
        <v>42.8</v>
      </c>
      <c r="D319">
        <v>18.5</v>
      </c>
      <c r="E319">
        <v>195</v>
      </c>
      <c r="F319">
        <v>4250</v>
      </c>
      <c r="G319" t="s">
        <v>6</v>
      </c>
      <c r="H319" t="s">
        <v>32</v>
      </c>
      <c r="I319" t="s">
        <v>13</v>
      </c>
    </row>
    <row r="320" spans="1:9" x14ac:dyDescent="0.3">
      <c r="A320" t="s">
        <v>4</v>
      </c>
      <c r="B320" t="s">
        <v>8</v>
      </c>
      <c r="C320">
        <v>40.9</v>
      </c>
      <c r="D320">
        <v>16.8</v>
      </c>
      <c r="E320">
        <v>191</v>
      </c>
      <c r="F320">
        <v>3700</v>
      </c>
      <c r="G320" t="s">
        <v>11</v>
      </c>
      <c r="H320" t="s">
        <v>31</v>
      </c>
      <c r="I320" t="s">
        <v>13</v>
      </c>
    </row>
    <row r="321" spans="1:9" x14ac:dyDescent="0.3">
      <c r="A321" t="s">
        <v>4</v>
      </c>
      <c r="B321" t="s">
        <v>8</v>
      </c>
      <c r="C321">
        <v>37.200000000000003</v>
      </c>
      <c r="D321">
        <v>19.399999999999999</v>
      </c>
      <c r="E321">
        <v>184</v>
      </c>
      <c r="F321">
        <v>3900</v>
      </c>
      <c r="G321" t="s">
        <v>6</v>
      </c>
      <c r="H321" t="s">
        <v>29</v>
      </c>
      <c r="I321" t="s">
        <v>13</v>
      </c>
    </row>
    <row r="322" spans="1:9" x14ac:dyDescent="0.3">
      <c r="A322" t="s">
        <v>4</v>
      </c>
      <c r="B322" t="s">
        <v>8</v>
      </c>
      <c r="C322">
        <v>36.200000000000003</v>
      </c>
      <c r="D322">
        <v>16.100000000000001</v>
      </c>
      <c r="E322">
        <v>187</v>
      </c>
      <c r="F322">
        <v>3550</v>
      </c>
      <c r="G322" t="s">
        <v>11</v>
      </c>
      <c r="H322" t="s">
        <v>30</v>
      </c>
      <c r="I322" t="s">
        <v>13</v>
      </c>
    </row>
    <row r="323" spans="1:9" x14ac:dyDescent="0.3">
      <c r="A323" t="s">
        <v>4</v>
      </c>
      <c r="B323" t="s">
        <v>8</v>
      </c>
      <c r="C323">
        <v>42.1</v>
      </c>
      <c r="D323">
        <v>19.100000000000001</v>
      </c>
      <c r="E323">
        <v>195</v>
      </c>
      <c r="F323">
        <v>4000</v>
      </c>
      <c r="G323" t="s">
        <v>6</v>
      </c>
      <c r="H323" t="s">
        <v>32</v>
      </c>
      <c r="I323" t="s">
        <v>13</v>
      </c>
    </row>
    <row r="324" spans="1:9" x14ac:dyDescent="0.3">
      <c r="A324" t="s">
        <v>4</v>
      </c>
      <c r="B324" t="s">
        <v>8</v>
      </c>
      <c r="C324">
        <v>34.6</v>
      </c>
      <c r="D324">
        <v>17.2</v>
      </c>
      <c r="E324">
        <v>189</v>
      </c>
      <c r="F324">
        <v>3200</v>
      </c>
      <c r="G324" t="s">
        <v>11</v>
      </c>
      <c r="H324" t="s">
        <v>30</v>
      </c>
      <c r="I324" t="s">
        <v>13</v>
      </c>
    </row>
    <row r="325" spans="1:9" x14ac:dyDescent="0.3">
      <c r="A325" t="s">
        <v>4</v>
      </c>
      <c r="B325" t="s">
        <v>8</v>
      </c>
      <c r="C325">
        <v>42.9</v>
      </c>
      <c r="D325">
        <v>17.600000000000001</v>
      </c>
      <c r="E325">
        <v>196</v>
      </c>
      <c r="F325">
        <v>4700</v>
      </c>
      <c r="G325" t="s">
        <v>6</v>
      </c>
      <c r="H325" t="s">
        <v>32</v>
      </c>
      <c r="I325" t="s">
        <v>13</v>
      </c>
    </row>
    <row r="326" spans="1:9" x14ac:dyDescent="0.3">
      <c r="A326" t="s">
        <v>4</v>
      </c>
      <c r="B326" t="s">
        <v>8</v>
      </c>
      <c r="C326">
        <v>36.700000000000003</v>
      </c>
      <c r="D326">
        <v>18.8</v>
      </c>
      <c r="E326">
        <v>187</v>
      </c>
      <c r="F326">
        <v>3800</v>
      </c>
      <c r="G326" t="s">
        <v>11</v>
      </c>
      <c r="H326" t="s">
        <v>30</v>
      </c>
      <c r="I326" t="s">
        <v>13</v>
      </c>
    </row>
    <row r="327" spans="1:9" x14ac:dyDescent="0.3">
      <c r="A327" t="s">
        <v>4</v>
      </c>
      <c r="B327" t="s">
        <v>8</v>
      </c>
      <c r="C327">
        <v>35.1</v>
      </c>
      <c r="D327">
        <v>19.399999999999999</v>
      </c>
      <c r="E327">
        <v>193</v>
      </c>
      <c r="F327">
        <v>4200</v>
      </c>
      <c r="G327" t="s">
        <v>6</v>
      </c>
      <c r="H327" t="s">
        <v>31</v>
      </c>
      <c r="I327" t="s">
        <v>13</v>
      </c>
    </row>
    <row r="328" spans="1:9" x14ac:dyDescent="0.3">
      <c r="A328" t="s">
        <v>4</v>
      </c>
      <c r="B328" t="s">
        <v>8</v>
      </c>
      <c r="C328">
        <v>38.6</v>
      </c>
      <c r="D328">
        <v>17</v>
      </c>
      <c r="E328">
        <v>188</v>
      </c>
      <c r="F328">
        <v>2900</v>
      </c>
      <c r="G328" t="s">
        <v>11</v>
      </c>
      <c r="H328" t="s">
        <v>30</v>
      </c>
      <c r="I328" t="s">
        <v>13</v>
      </c>
    </row>
    <row r="329" spans="1:9" x14ac:dyDescent="0.3">
      <c r="A329" t="s">
        <v>4</v>
      </c>
      <c r="B329" t="s">
        <v>8</v>
      </c>
      <c r="C329">
        <v>37.299999999999997</v>
      </c>
      <c r="D329">
        <v>20.5</v>
      </c>
      <c r="E329">
        <v>199</v>
      </c>
      <c r="F329">
        <v>3775</v>
      </c>
      <c r="G329" t="s">
        <v>6</v>
      </c>
      <c r="H329" t="s">
        <v>32</v>
      </c>
      <c r="I329" t="s">
        <v>13</v>
      </c>
    </row>
    <row r="330" spans="1:9" x14ac:dyDescent="0.3">
      <c r="A330" t="s">
        <v>4</v>
      </c>
      <c r="B330" t="s">
        <v>8</v>
      </c>
      <c r="C330">
        <v>35.700000000000003</v>
      </c>
      <c r="D330">
        <v>17</v>
      </c>
      <c r="E330">
        <v>189</v>
      </c>
      <c r="F330">
        <v>3350</v>
      </c>
      <c r="G330" t="s">
        <v>11</v>
      </c>
      <c r="H330" t="s">
        <v>30</v>
      </c>
      <c r="I330" t="s">
        <v>13</v>
      </c>
    </row>
    <row r="331" spans="1:9" x14ac:dyDescent="0.3">
      <c r="A331" t="s">
        <v>4</v>
      </c>
      <c r="B331" t="s">
        <v>8</v>
      </c>
      <c r="C331">
        <v>41.1</v>
      </c>
      <c r="D331">
        <v>18.600000000000001</v>
      </c>
      <c r="E331">
        <v>189</v>
      </c>
      <c r="F331">
        <v>3325</v>
      </c>
      <c r="G331" t="s">
        <v>6</v>
      </c>
      <c r="H331" t="s">
        <v>30</v>
      </c>
      <c r="I331" t="s">
        <v>13</v>
      </c>
    </row>
    <row r="332" spans="1:9" x14ac:dyDescent="0.3">
      <c r="A332" t="s">
        <v>4</v>
      </c>
      <c r="B332" t="s">
        <v>8</v>
      </c>
      <c r="C332">
        <v>36.200000000000003</v>
      </c>
      <c r="D332">
        <v>17.2</v>
      </c>
      <c r="E332">
        <v>187</v>
      </c>
      <c r="F332">
        <v>3150</v>
      </c>
      <c r="G332" t="s">
        <v>11</v>
      </c>
      <c r="H332" t="s">
        <v>30</v>
      </c>
      <c r="I332" t="s">
        <v>13</v>
      </c>
    </row>
    <row r="333" spans="1:9" x14ac:dyDescent="0.3">
      <c r="A333" t="s">
        <v>4</v>
      </c>
      <c r="B333" t="s">
        <v>8</v>
      </c>
      <c r="C333">
        <v>37.700000000000003</v>
      </c>
      <c r="D333">
        <v>19.8</v>
      </c>
      <c r="E333">
        <v>198</v>
      </c>
      <c r="F333">
        <v>3500</v>
      </c>
      <c r="G333" t="s">
        <v>6</v>
      </c>
      <c r="H333" t="s">
        <v>32</v>
      </c>
      <c r="I333" t="s">
        <v>13</v>
      </c>
    </row>
    <row r="334" spans="1:9" x14ac:dyDescent="0.3">
      <c r="A334" t="s">
        <v>4</v>
      </c>
      <c r="B334" t="s">
        <v>8</v>
      </c>
      <c r="C334">
        <v>40.200000000000003</v>
      </c>
      <c r="D334">
        <v>17</v>
      </c>
      <c r="E334">
        <v>176</v>
      </c>
      <c r="F334">
        <v>3450</v>
      </c>
      <c r="G334" t="s">
        <v>11</v>
      </c>
      <c r="H334" t="s">
        <v>28</v>
      </c>
      <c r="I334" t="s">
        <v>13</v>
      </c>
    </row>
    <row r="335" spans="1:9" x14ac:dyDescent="0.3">
      <c r="A335" t="s">
        <v>4</v>
      </c>
      <c r="B335" t="s">
        <v>8</v>
      </c>
      <c r="C335">
        <v>41.4</v>
      </c>
      <c r="D335">
        <v>18.5</v>
      </c>
      <c r="E335">
        <v>202</v>
      </c>
      <c r="F335">
        <v>3875</v>
      </c>
      <c r="G335" t="s">
        <v>6</v>
      </c>
      <c r="H335" t="s">
        <v>33</v>
      </c>
      <c r="I335" t="s">
        <v>13</v>
      </c>
    </row>
    <row r="336" spans="1:9" x14ac:dyDescent="0.3">
      <c r="A336" t="s">
        <v>4</v>
      </c>
      <c r="B336" t="s">
        <v>8</v>
      </c>
      <c r="C336">
        <v>35.200000000000003</v>
      </c>
      <c r="D336">
        <v>15.9</v>
      </c>
      <c r="E336">
        <v>186</v>
      </c>
      <c r="F336">
        <v>3050</v>
      </c>
      <c r="G336" t="s">
        <v>11</v>
      </c>
      <c r="H336" t="s">
        <v>30</v>
      </c>
      <c r="I336" t="s">
        <v>13</v>
      </c>
    </row>
    <row r="337" spans="1:9" x14ac:dyDescent="0.3">
      <c r="A337" t="s">
        <v>4</v>
      </c>
      <c r="B337" t="s">
        <v>8</v>
      </c>
      <c r="C337">
        <v>40.6</v>
      </c>
      <c r="D337">
        <v>19</v>
      </c>
      <c r="E337">
        <v>199</v>
      </c>
      <c r="F337">
        <v>4000</v>
      </c>
      <c r="G337" t="s">
        <v>6</v>
      </c>
      <c r="H337" t="s">
        <v>32</v>
      </c>
      <c r="I337" t="s">
        <v>13</v>
      </c>
    </row>
    <row r="338" spans="1:9" x14ac:dyDescent="0.3">
      <c r="A338" t="s">
        <v>4</v>
      </c>
      <c r="B338" t="s">
        <v>8</v>
      </c>
      <c r="C338">
        <v>38.799999999999997</v>
      </c>
      <c r="D338">
        <v>17.600000000000001</v>
      </c>
      <c r="E338">
        <v>191</v>
      </c>
      <c r="F338">
        <v>3275</v>
      </c>
      <c r="G338" t="s">
        <v>11</v>
      </c>
      <c r="H338" t="s">
        <v>31</v>
      </c>
      <c r="I338" t="s">
        <v>13</v>
      </c>
    </row>
    <row r="339" spans="1:9" x14ac:dyDescent="0.3">
      <c r="A339" t="s">
        <v>4</v>
      </c>
      <c r="B339" t="s">
        <v>8</v>
      </c>
      <c r="C339">
        <v>41.5</v>
      </c>
      <c r="D339">
        <v>18.3</v>
      </c>
      <c r="E339">
        <v>195</v>
      </c>
      <c r="F339">
        <v>4300</v>
      </c>
      <c r="G339" t="s">
        <v>6</v>
      </c>
      <c r="H339" t="s">
        <v>32</v>
      </c>
      <c r="I339" t="s">
        <v>13</v>
      </c>
    </row>
    <row r="340" spans="1:9" x14ac:dyDescent="0.3">
      <c r="A340" t="s">
        <v>4</v>
      </c>
      <c r="B340" t="s">
        <v>8</v>
      </c>
      <c r="C340">
        <v>39</v>
      </c>
      <c r="D340">
        <v>17.100000000000001</v>
      </c>
      <c r="E340">
        <v>191</v>
      </c>
      <c r="F340">
        <v>3050</v>
      </c>
      <c r="G340" t="s">
        <v>11</v>
      </c>
      <c r="H340" t="s">
        <v>31</v>
      </c>
      <c r="I340" t="s">
        <v>13</v>
      </c>
    </row>
    <row r="341" spans="1:9" x14ac:dyDescent="0.3">
      <c r="A341" t="s">
        <v>4</v>
      </c>
      <c r="B341" t="s">
        <v>8</v>
      </c>
      <c r="C341">
        <v>44.1</v>
      </c>
      <c r="D341">
        <v>18</v>
      </c>
      <c r="E341">
        <v>210</v>
      </c>
      <c r="F341">
        <v>4000</v>
      </c>
      <c r="G341" t="s">
        <v>6</v>
      </c>
      <c r="H341" t="s">
        <v>35</v>
      </c>
      <c r="I341" t="s">
        <v>13</v>
      </c>
    </row>
    <row r="342" spans="1:9" x14ac:dyDescent="0.3">
      <c r="A342" t="s">
        <v>4</v>
      </c>
      <c r="B342" t="s">
        <v>8</v>
      </c>
      <c r="C342">
        <v>38.5</v>
      </c>
      <c r="D342">
        <v>17.899999999999999</v>
      </c>
      <c r="E342">
        <v>190</v>
      </c>
      <c r="F342">
        <v>3325</v>
      </c>
      <c r="G342" t="s">
        <v>11</v>
      </c>
      <c r="H342" t="s">
        <v>31</v>
      </c>
      <c r="I342" t="s">
        <v>13</v>
      </c>
    </row>
    <row r="343" spans="1:9" x14ac:dyDescent="0.3">
      <c r="A343" t="s">
        <v>4</v>
      </c>
      <c r="B343" t="s">
        <v>8</v>
      </c>
      <c r="C343">
        <v>43.1</v>
      </c>
      <c r="D343">
        <v>19.2</v>
      </c>
      <c r="E343">
        <v>197</v>
      </c>
      <c r="F343">
        <v>3500</v>
      </c>
      <c r="G343" t="s">
        <v>6</v>
      </c>
      <c r="H343" t="s">
        <v>32</v>
      </c>
      <c r="I34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AB7F-1325-404A-B15A-B9604560B2F4}">
  <dimension ref="A1:A4"/>
  <sheetViews>
    <sheetView workbookViewId="0">
      <selection activeCell="M10" sqref="M10"/>
    </sheetView>
  </sheetViews>
  <sheetFormatPr baseColWidth="10" defaultRowHeight="14.4" x14ac:dyDescent="0.3"/>
  <cols>
    <col min="1" max="1" width="9" bestFit="1" customWidth="1"/>
  </cols>
  <sheetData>
    <row r="1" spans="1:1" x14ac:dyDescent="0.3">
      <c r="A1" t="s">
        <v>1</v>
      </c>
    </row>
    <row r="2" spans="1:1" x14ac:dyDescent="0.3">
      <c r="A2" t="s">
        <v>8</v>
      </c>
    </row>
    <row r="3" spans="1:1" x14ac:dyDescent="0.3">
      <c r="A3" t="s">
        <v>5</v>
      </c>
    </row>
    <row r="4" spans="1:1" x14ac:dyDescent="0.3">
      <c r="A4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F0D0-91A0-4852-A273-B28437EFA0D7}">
  <dimension ref="A1:A3"/>
  <sheetViews>
    <sheetView workbookViewId="0">
      <selection activeCell="A5" sqref="A5"/>
    </sheetView>
  </sheetViews>
  <sheetFormatPr baseColWidth="10" defaultRowHeight="14.4" x14ac:dyDescent="0.3"/>
  <cols>
    <col min="1" max="1" width="7.44140625" bestFit="1" customWidth="1"/>
  </cols>
  <sheetData>
    <row r="1" spans="1:1" x14ac:dyDescent="0.3">
      <c r="A1" t="s">
        <v>3</v>
      </c>
    </row>
    <row r="2" spans="1:1" x14ac:dyDescent="0.3">
      <c r="A2" t="s">
        <v>6</v>
      </c>
    </row>
    <row r="3" spans="1:1" x14ac:dyDescent="0.3">
      <c r="A3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890C-A608-4FD8-A9B2-F46896112638}">
  <dimension ref="A1:A4"/>
  <sheetViews>
    <sheetView workbookViewId="0">
      <selection activeCell="D5" sqref="D5"/>
    </sheetView>
  </sheetViews>
  <sheetFormatPr baseColWidth="10" defaultRowHeight="14.4" x14ac:dyDescent="0.3"/>
  <cols>
    <col min="1" max="1" width="9.6640625" bestFit="1" customWidth="1"/>
  </cols>
  <sheetData>
    <row r="1" spans="1:1" x14ac:dyDescent="0.3">
      <c r="A1" t="s">
        <v>0</v>
      </c>
    </row>
    <row r="2" spans="1:1" x14ac:dyDescent="0.3">
      <c r="A2" t="s">
        <v>4</v>
      </c>
    </row>
    <row r="3" spans="1:1" x14ac:dyDescent="0.3">
      <c r="A3" t="s">
        <v>10</v>
      </c>
    </row>
    <row r="4" spans="1:1" x14ac:dyDescent="0.3">
      <c r="A4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0427-35BB-4966-8CC7-93567C462E6A}">
  <dimension ref="A1:M33"/>
  <sheetViews>
    <sheetView workbookViewId="0">
      <selection activeCell="N31" sqref="N31"/>
    </sheetView>
  </sheetViews>
  <sheetFormatPr baseColWidth="10" defaultRowHeight="14.4" x14ac:dyDescent="0.3"/>
  <cols>
    <col min="1" max="1" width="16.21875" customWidth="1"/>
  </cols>
  <sheetData>
    <row r="1" spans="1:13" x14ac:dyDescent="0.3"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3">
      <c r="A2" t="s">
        <v>26</v>
      </c>
      <c r="B2">
        <f>COUNTIFS(penguins_size!$E$2:$E$343,"&gt;170",penguins_size!$E$2:$E$343,"&lt;=175")</f>
        <v>2</v>
      </c>
      <c r="C2">
        <f>COUNTIFS(penguins_size!$E$2:$E$343,"&gt;175",penguins_size!$E$2:$E$343,"&lt;=180")</f>
        <v>11</v>
      </c>
      <c r="D2">
        <f>COUNTIFS(penguins_size!$E$2:$E$343,"&gt;180",penguins_size!$E$2:$E$343,"&lt;=185")</f>
        <v>28</v>
      </c>
      <c r="E2">
        <f>COUNTIFS(penguins_size!$E$2:$E$343,"&gt;185",penguins_size!$E$2:$E$343,"&lt;=190")</f>
        <v>58</v>
      </c>
      <c r="F2">
        <f>COUNTIFS(penguins_size!$E$2:$E$343,"&gt;190",penguins_size!$E$2:$E$343,"&lt;=195")</f>
        <v>57</v>
      </c>
      <c r="G2">
        <f>COUNTIFS(penguins_size!$E$2:$E$343,"&gt;195",penguins_size!$E$2:$E$343,"&lt;=200")</f>
        <v>38</v>
      </c>
      <c r="H2">
        <f>COUNTIFS(penguins_size!$E$2:$E$343,"&gt;200",penguins_size!$E$2:$E$343,"&lt;=205")</f>
        <v>18</v>
      </c>
      <c r="I2">
        <f>COUNTIFS(penguins_size!$E$2:$E$343,"&gt;205",penguins_size!$E$2:$E$343,"&lt;=210")</f>
        <v>30</v>
      </c>
      <c r="J2">
        <f>COUNTIFS(penguins_size!$E$2:$E$343,"&gt;210",penguins_size!$E$2:$E$343,"&lt;=215")</f>
        <v>33</v>
      </c>
      <c r="K2">
        <f>COUNTIFS(penguins_size!$E$2:$E$343,"&gt;215",penguins_size!$E$2:$E$343,"&lt;=220")</f>
        <v>32</v>
      </c>
      <c r="L2">
        <f>COUNTIFS(penguins_size!$E$2:$E$343,"&gt;220",penguins_size!$E$2:$E$343,"&lt;=225")</f>
        <v>20</v>
      </c>
      <c r="M2">
        <f>COUNTIFS(penguins_size!$E$2:$E$343,"&gt;225",penguins_size!$E$2:$E$343,"&lt;=231")</f>
        <v>15</v>
      </c>
    </row>
    <row r="5" spans="1:13" x14ac:dyDescent="0.3"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</row>
    <row r="6" spans="1:13" x14ac:dyDescent="0.3">
      <c r="A6" t="s">
        <v>26</v>
      </c>
      <c r="B6">
        <f>COUNTIFS(penguins_size!$E$2:$E$343,"&gt;170",penguins_size!$E$2:$E$343,"&lt;=175",penguins_size!$G$2:$G$343,"FEMALE")</f>
        <v>2</v>
      </c>
      <c r="C6">
        <f>COUNTIFS(penguins_size!$E$2:$E$343,"&gt;175",penguins_size!$E$2:$E$343,"&lt;=180",penguins_size!$G$2:$G$343,"FEMALE")</f>
        <v>7</v>
      </c>
      <c r="D6">
        <f>COUNTIFS(penguins_size!$E$2:$E$343,"&gt;180",penguins_size!$E$2:$E$343,"&lt;=185",penguins_size!$G$2:$G$343,"FEMALE")</f>
        <v>19</v>
      </c>
      <c r="E6">
        <f>COUNTIFS(penguins_size!$E$2:$E$343,"&gt;185",penguins_size!$E$2:$E$343,"&lt;=190",penguins_size!$G$2:$G$343,"FEMALE")</f>
        <v>41</v>
      </c>
      <c r="F6">
        <f>COUNTIFS(penguins_size!$E$2:$E$343,"&gt;190",penguins_size!$E$2:$E$343,"&lt;=195",penguins_size!$G$2:$G$343,"FEMALE")</f>
        <v>30</v>
      </c>
      <c r="G6">
        <f>COUNTIFS(penguins_size!$E$2:$E$343,"&gt;195",penguins_size!$E$2:$E$343,"&lt;=200",penguins_size!$G$2:$G$343,"FEMALE")</f>
        <v>11</v>
      </c>
      <c r="H6">
        <f>COUNTIFS(penguins_size!$E$2:$E$343,"&gt;200",penguins_size!$E$2:$E$343,"&lt;=205",penguins_size!$G$2:$G$343,"FEMALE")</f>
        <v>3</v>
      </c>
      <c r="I6">
        <f>COUNTIFS(penguins_size!$E$2:$E$343,"&gt;205",penguins_size!$E$2:$E$343,"&lt;=210",penguins_size!$G$2:$G$343,"FEMALE")</f>
        <v>21</v>
      </c>
      <c r="J6">
        <f>COUNTIFS(penguins_size!$E$2:$E$343,"&gt;210",penguins_size!$E$2:$E$343,"&lt;=215",penguins_size!$G$2:$G$343,"FEMALE")</f>
        <v>23</v>
      </c>
      <c r="K6">
        <f>COUNTIFS(penguins_size!$E$2:$E$343,"&gt;215",penguins_size!$E$2:$E$343,"&lt;=220",penguins_size!$G$2:$G$343,"FEMALE")</f>
        <v>15</v>
      </c>
      <c r="L6">
        <f>COUNTIFS(penguins_size!$E$2:$E$343,"&gt;220",penguins_size!$E$2:$E$343,"&lt;=225",penguins_size!$G$2:$G$343,"FEMALE")</f>
        <v>1</v>
      </c>
      <c r="M6">
        <f>COUNTIFS(penguins_size!$E$2:$E$343,"&gt;225",penguins_size!$E$2:$E$343,"&lt;=231",penguins_size!$G$2:$G$343,"FEMALE")</f>
        <v>0</v>
      </c>
    </row>
    <row r="30" spans="1:13" x14ac:dyDescent="0.3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</row>
    <row r="31" spans="1:13" x14ac:dyDescent="0.3">
      <c r="A31" t="s">
        <v>7</v>
      </c>
      <c r="B31">
        <f>COUNTIFS(penguins_size!$E$2:$E$343,"&gt;170",penguins_size!$E$2:$E$343,"&lt;=175",penguins_size!$A$2:$A$343,"Gentoo")</f>
        <v>0</v>
      </c>
      <c r="C31">
        <f>COUNTIFS(penguins_size!$E$2:$E$343,"&gt;175",penguins_size!$E$2:$E$343,"&lt;=180",penguins_size!$A$2:$A$343,"Gentoo")</f>
        <v>0</v>
      </c>
      <c r="D31">
        <f>COUNTIFS(penguins_size!$E$2:$E$343,"&gt;180",penguins_size!$E$2:$E$343,"&lt;=185",penguins_size!$A$2:$A$343,"Gentoo")</f>
        <v>0</v>
      </c>
      <c r="E31">
        <f>COUNTIFS(penguins_size!$E$2:$E$343,"&gt;185",penguins_size!$E$2:$E$343,"&lt;=190",penguins_size!$A$2:$A$343,"Gentoo")</f>
        <v>0</v>
      </c>
      <c r="F31">
        <f>COUNTIFS(penguins_size!$E$2:$E$343,"&gt;190",penguins_size!$E$2:$E$343,"&lt;=195",penguins_size!$A$2:$A$343,"Gentoo")</f>
        <v>0</v>
      </c>
      <c r="G31">
        <f>COUNTIFS(penguins_size!$E$2:$E$343,"&gt;195",penguins_size!$E$2:$E$343,"&lt;=200",penguins_size!$A$2:$A$343,"Gentoo")</f>
        <v>0</v>
      </c>
      <c r="H31">
        <f>COUNTIFS(penguins_size!$E$2:$E$343,"&gt;200",penguins_size!$E$2:$E$343,"&lt;=205",penguins_size!$A$2:$A$343,"Gentoo")</f>
        <v>1</v>
      </c>
      <c r="I31">
        <f>COUNTIFS(penguins_size!$E$2:$E$343,"&gt;205",penguins_size!$E$2:$E$343,"&lt;=210",penguins_size!$A$2:$A$343,"Gentoo")</f>
        <v>23</v>
      </c>
      <c r="J31">
        <f>COUNTIFS(penguins_size!$E$2:$E$343,"&gt;210",penguins_size!$E$2:$E$343,"&lt;=215",penguins_size!$A$2:$A$343,"Gentoo")</f>
        <v>32</v>
      </c>
      <c r="K31">
        <f>COUNTIFS(penguins_size!$E$2:$E$343,"&gt;215",penguins_size!$E$2:$E$343,"&lt;=220",penguins_size!$A$2:$A$343,"Gentoo")</f>
        <v>32</v>
      </c>
      <c r="L31">
        <f>COUNTIFS(penguins_size!$E$2:$E$343,"&gt;220",penguins_size!$E$2:$E$343,"&lt;=225",penguins_size!$A$2:$A$343,"Gentoo")</f>
        <v>20</v>
      </c>
      <c r="M31">
        <f>COUNTIFS(penguins_size!$E$2:$E$343,"&gt;225",penguins_size!$E$2:$E$343,"&lt;=231",penguins_size!$A$2:$A$343,"Gentoo")</f>
        <v>15</v>
      </c>
    </row>
    <row r="32" spans="1:13" x14ac:dyDescent="0.3">
      <c r="A32" t="s">
        <v>10</v>
      </c>
      <c r="B32">
        <f>COUNTIFS(penguins_size!$E$2:$E$343,"&gt;170",penguins_size!$E$2:$E$343,"&lt;=175",penguins_size!$A$2:$A$343,"Chinstrap")</f>
        <v>0</v>
      </c>
      <c r="C32">
        <f>COUNTIFS(penguins_size!$E$2:$E$343,"&gt;175",penguins_size!$E$2:$E$343,"&lt;=180",penguins_size!$A$2:$A$343,"Chinstrap")</f>
        <v>1</v>
      </c>
      <c r="D32">
        <f>COUNTIFS(penguins_size!$E$2:$E$343,"&gt;180",penguins_size!$E$2:$E$343,"&lt;=185",penguins_size!$A$2:$A$343,"Chinstrap")</f>
        <v>3</v>
      </c>
      <c r="E32">
        <f>COUNTIFS(penguins_size!$E$2:$E$343,"&gt;185",penguins_size!$E$2:$E$343,"&lt;=190",penguins_size!$A$2:$A$343,"Chinstrap")</f>
        <v>11</v>
      </c>
      <c r="F32">
        <f>COUNTIFS(penguins_size!$E$2:$E$343,"&gt;190",penguins_size!$E$2:$E$343,"&lt;=195",penguins_size!$A$2:$A$343,"Chinstrap")</f>
        <v>18</v>
      </c>
      <c r="G32">
        <f>COUNTIFS(penguins_size!$E$2:$E$343,"&gt;195",penguins_size!$E$2:$E$343,"&lt;=200",penguins_size!$A$2:$A$343,"Chinstrap")</f>
        <v>17</v>
      </c>
      <c r="H32">
        <f>COUNTIFS(penguins_size!$E$2:$E$343,"&gt;200",penguins_size!$E$2:$E$343,"&lt;=205",penguins_size!$A$2:$A$343,"Chinstrap")</f>
        <v>12</v>
      </c>
      <c r="I32">
        <f>COUNTIFS(penguins_size!$E$2:$E$343,"&gt;205",penguins_size!$E$2:$E$343,"&lt;=210",penguins_size!$A$2:$A$343,"Chinstrap")</f>
        <v>5</v>
      </c>
      <c r="J32">
        <f>COUNTIFS(penguins_size!$E$2:$E$343,"&gt;210",penguins_size!$E$2:$E$343,"&lt;=215",penguins_size!$A$2:$A$343,"Chinstrap")</f>
        <v>1</v>
      </c>
      <c r="K32">
        <f>COUNTIFS(penguins_size!$E$2:$E$343,"&gt;215",penguins_size!$E$2:$E$343,"&lt;=220",penguins_size!$A$2:$A$343,"Chinstrap")</f>
        <v>0</v>
      </c>
      <c r="L32">
        <f>COUNTIFS(penguins_size!$E$2:$E$343,"&gt;220",penguins_size!$E$2:$E$343,"&lt;=225",penguins_size!$A$2:$A$343,"Chinstrap")</f>
        <v>0</v>
      </c>
      <c r="M32">
        <f>COUNTIFS(penguins_size!$E$2:$E$343,"&gt;225",penguins_size!$E$2:$E$343,"&lt;=231",penguins_size!$A$2:$A$343,"Chinstrap")</f>
        <v>0</v>
      </c>
    </row>
    <row r="33" spans="1:13" x14ac:dyDescent="0.3">
      <c r="A33" t="s">
        <v>4</v>
      </c>
      <c r="B33">
        <f>COUNTIFS(penguins_size!$E$2:$E$343,"&gt;170",penguins_size!$E$2:$E$343,"&lt;=175",penguins_size!$A$2:$A$343,"Adelie")</f>
        <v>2</v>
      </c>
      <c r="C33">
        <f>COUNTIFS(penguins_size!$E$2:$E$343,"&gt;175",penguins_size!$E$2:$E$343,"&lt;=180",penguins_size!$A$2:$A$343,"Adelie")</f>
        <v>10</v>
      </c>
      <c r="D33">
        <f>COUNTIFS(penguins_size!$E$2:$E$343,"&gt;180",penguins_size!$E$2:$E$343,"&lt;=185",penguins_size!$A$2:$A$343,"Adelie")</f>
        <v>25</v>
      </c>
      <c r="E33">
        <f>COUNTIFS(penguins_size!$E$2:$E$343,"&gt;185",penguins_size!$E$2:$E$343,"&lt;=190",penguins_size!$A$2:$A$343,"Adelie")</f>
        <v>47</v>
      </c>
      <c r="F33">
        <f>COUNTIFS(penguins_size!$E$2:$E$343,"&gt;190",penguins_size!$E$2:$E$343,"&lt;=195",penguins_size!$A$2:$A$343,"Adelie")</f>
        <v>39</v>
      </c>
      <c r="G33">
        <f>COUNTIFS(penguins_size!$E$2:$E$343,"&gt;195",penguins_size!$E$2:$E$343,"&lt;=200",penguins_size!$A$2:$A$343,"Adelie")</f>
        <v>21</v>
      </c>
      <c r="H33">
        <f>COUNTIFS(penguins_size!$E$2:$E$343,"&gt;200",penguins_size!$E$2:$E$343,"&lt;=205",penguins_size!$A$2:$A$343,"Adelie")</f>
        <v>5</v>
      </c>
      <c r="I33">
        <f>COUNTIFS(penguins_size!$E$2:$E$343,"&gt;205",penguins_size!$E$2:$E$343,"&lt;=210",penguins_size!$A$2:$A$343,"Adelie")</f>
        <v>2</v>
      </c>
      <c r="J33">
        <f>COUNTIFS(penguins_size!$E$2:$E$343,"&gt;210",penguins_size!$E$2:$E$343,"&lt;=215",penguins_size!$A$2:$A$343,"Adelie")</f>
        <v>0</v>
      </c>
      <c r="K33">
        <f>COUNTIFS(penguins_size!$E$2:$E$343,"&gt;215",penguins_size!$E$2:$E$343,"&lt;=220",penguins_size!$A$2:$A$343,"Adelie")</f>
        <v>0</v>
      </c>
      <c r="L33">
        <f>COUNTIFS(penguins_size!$E$2:$E$343,"&gt;220",penguins_size!$E$2:$E$343,"&lt;=225",penguins_size!$A$2:$A$343,"Adelie")</f>
        <v>0</v>
      </c>
      <c r="M33">
        <f>COUNTIFS(penguins_size!$E$2:$E$343,"&gt;225",penguins_size!$E$2:$E$343,"&lt;=231",penguins_size!$A$2:$A$343,"Adelie")</f>
        <v>0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6441-CA94-478C-BBAA-78415F077FF5}">
  <dimension ref="A3:R53"/>
  <sheetViews>
    <sheetView topLeftCell="G1" workbookViewId="0">
      <selection activeCell="P3" sqref="P3"/>
    </sheetView>
  </sheetViews>
  <sheetFormatPr baseColWidth="10" defaultRowHeight="14.4" x14ac:dyDescent="0.3"/>
  <cols>
    <col min="1" max="1" width="16.5546875" bestFit="1" customWidth="1"/>
    <col min="2" max="2" width="18.109375" bestFit="1" customWidth="1"/>
    <col min="3" max="3" width="6.5546875" bestFit="1" customWidth="1"/>
    <col min="4" max="4" width="11.5546875" bestFit="1" customWidth="1"/>
    <col min="5" max="7" width="8.88671875" bestFit="1" customWidth="1"/>
    <col min="8" max="8" width="16.5546875" bestFit="1" customWidth="1"/>
    <col min="9" max="9" width="21.21875" bestFit="1" customWidth="1"/>
    <col min="10" max="10" width="9.109375" bestFit="1" customWidth="1"/>
    <col min="11" max="11" width="7" bestFit="1" customWidth="1"/>
    <col min="12" max="12" width="11.5546875" bestFit="1" customWidth="1"/>
    <col min="13" max="13" width="8.88671875" bestFit="1" customWidth="1"/>
    <col min="14" max="14" width="10.6640625" bestFit="1" customWidth="1"/>
    <col min="15" max="15" width="21.21875" bestFit="1" customWidth="1"/>
    <col min="16" max="16" width="9.109375" bestFit="1" customWidth="1"/>
    <col min="17" max="17" width="7" bestFit="1" customWidth="1"/>
    <col min="18" max="18" width="11.5546875" bestFit="1" customWidth="1"/>
    <col min="19" max="25" width="8.88671875" bestFit="1" customWidth="1"/>
  </cols>
  <sheetData>
    <row r="3" spans="1:18" x14ac:dyDescent="0.3">
      <c r="B3" s="1" t="s">
        <v>24</v>
      </c>
      <c r="I3" s="1" t="s">
        <v>24</v>
      </c>
      <c r="O3" s="1" t="s">
        <v>24</v>
      </c>
    </row>
    <row r="4" spans="1:18" x14ac:dyDescent="0.3">
      <c r="A4" s="1" t="s">
        <v>25</v>
      </c>
      <c r="B4" t="s">
        <v>11</v>
      </c>
      <c r="C4" t="s">
        <v>6</v>
      </c>
      <c r="D4" t="s">
        <v>19</v>
      </c>
      <c r="H4" s="1" t="s">
        <v>25</v>
      </c>
      <c r="I4" t="s">
        <v>4</v>
      </c>
      <c r="J4" t="s">
        <v>10</v>
      </c>
      <c r="K4" t="s">
        <v>7</v>
      </c>
      <c r="L4" t="s">
        <v>19</v>
      </c>
      <c r="O4" t="s">
        <v>4</v>
      </c>
      <c r="P4" t="s">
        <v>10</v>
      </c>
      <c r="Q4" t="s">
        <v>7</v>
      </c>
      <c r="R4" t="s">
        <v>19</v>
      </c>
    </row>
    <row r="5" spans="1:18" x14ac:dyDescent="0.3">
      <c r="A5" s="2" t="s">
        <v>21</v>
      </c>
      <c r="B5" s="3">
        <v>42.041618497109823</v>
      </c>
      <c r="C5" s="3">
        <v>45.846745562130181</v>
      </c>
      <c r="D5" s="3">
        <v>43.921929824561403</v>
      </c>
      <c r="H5" s="2" t="s">
        <v>21</v>
      </c>
      <c r="I5" s="3">
        <v>38.79139072847682</v>
      </c>
      <c r="J5" s="3">
        <v>48.83382352941176</v>
      </c>
      <c r="K5" s="3">
        <v>47.50487804878049</v>
      </c>
      <c r="L5" s="3">
        <v>43.921929824561403</v>
      </c>
      <c r="N5" t="s">
        <v>20</v>
      </c>
      <c r="O5" s="3">
        <v>3700.662251655629</v>
      </c>
      <c r="P5" s="3">
        <v>3733.0882352941176</v>
      </c>
      <c r="Q5" s="3">
        <v>5076.0162601626016</v>
      </c>
      <c r="R5" s="3">
        <v>4201.7543859649122</v>
      </c>
    </row>
    <row r="6" spans="1:18" x14ac:dyDescent="0.3">
      <c r="A6" s="2" t="s">
        <v>22</v>
      </c>
      <c r="B6" s="3">
        <v>16.441040462427747</v>
      </c>
      <c r="C6" s="3">
        <v>17.878106508875739</v>
      </c>
      <c r="D6" s="3">
        <v>17.151169590643274</v>
      </c>
      <c r="H6" s="2" t="s">
        <v>22</v>
      </c>
      <c r="I6" s="3">
        <v>18.346357615894043</v>
      </c>
      <c r="J6" s="3">
        <v>18.420588235294115</v>
      </c>
      <c r="K6" s="3">
        <v>14.982113821138212</v>
      </c>
      <c r="L6" s="3">
        <v>17.151169590643274</v>
      </c>
    </row>
    <row r="7" spans="1:18" x14ac:dyDescent="0.3">
      <c r="A7" s="2" t="s">
        <v>23</v>
      </c>
      <c r="B7" s="3">
        <v>197.33526011560693</v>
      </c>
      <c r="C7" s="3">
        <v>204.57988165680473</v>
      </c>
      <c r="D7" s="3">
        <v>200.91520467836258</v>
      </c>
      <c r="H7" s="2" t="s">
        <v>23</v>
      </c>
      <c r="I7" s="3">
        <v>189.95364238410596</v>
      </c>
      <c r="J7" s="3">
        <v>195.8235294117647</v>
      </c>
      <c r="K7" s="3">
        <v>217.1869918699187</v>
      </c>
      <c r="L7" s="3">
        <v>200.91520467836258</v>
      </c>
    </row>
    <row r="10" spans="1:18" x14ac:dyDescent="0.3">
      <c r="B10" s="1" t="s">
        <v>24</v>
      </c>
    </row>
    <row r="11" spans="1:18" x14ac:dyDescent="0.3">
      <c r="B11" t="s">
        <v>11</v>
      </c>
      <c r="C11" t="s">
        <v>6</v>
      </c>
      <c r="D11" t="s">
        <v>19</v>
      </c>
    </row>
    <row r="12" spans="1:18" x14ac:dyDescent="0.3">
      <c r="A12" t="s">
        <v>20</v>
      </c>
      <c r="B12" s="3">
        <v>3863.872832369942</v>
      </c>
      <c r="C12" s="3">
        <v>4547.6331360946742</v>
      </c>
      <c r="D12" s="3">
        <v>4201.7543859649122</v>
      </c>
      <c r="H12" s="1" t="s">
        <v>20</v>
      </c>
      <c r="I12" s="1" t="s">
        <v>24</v>
      </c>
    </row>
    <row r="13" spans="1:18" x14ac:dyDescent="0.3">
      <c r="H13" s="1" t="s">
        <v>18</v>
      </c>
      <c r="I13" t="s">
        <v>4</v>
      </c>
      <c r="J13" t="s">
        <v>10</v>
      </c>
      <c r="K13" t="s">
        <v>7</v>
      </c>
      <c r="L13" t="s">
        <v>19</v>
      </c>
    </row>
    <row r="14" spans="1:18" x14ac:dyDescent="0.3">
      <c r="H14" s="2" t="s">
        <v>11</v>
      </c>
      <c r="I14" s="3">
        <v>3379.8076923076924</v>
      </c>
      <c r="J14" s="3">
        <v>3527.205882352941</v>
      </c>
      <c r="K14" s="3">
        <v>4670.4918032786882</v>
      </c>
      <c r="L14" s="3">
        <v>3863.872832369942</v>
      </c>
    </row>
    <row r="15" spans="1:18" x14ac:dyDescent="0.3">
      <c r="H15" s="2" t="s">
        <v>6</v>
      </c>
      <c r="I15" s="3">
        <v>4043.4931506849316</v>
      </c>
      <c r="J15" s="3">
        <v>3938.9705882352941</v>
      </c>
      <c r="K15" s="3">
        <v>5475</v>
      </c>
      <c r="L15" s="3">
        <v>4547.6331360946742</v>
      </c>
    </row>
    <row r="16" spans="1:18" x14ac:dyDescent="0.3">
      <c r="H16" s="2" t="s">
        <v>19</v>
      </c>
      <c r="I16" s="3">
        <v>3700.662251655629</v>
      </c>
      <c r="J16" s="3">
        <v>3733.0882352941176</v>
      </c>
      <c r="K16" s="3">
        <v>5076.0162601626016</v>
      </c>
      <c r="L16" s="3">
        <v>4201.7543859649122</v>
      </c>
    </row>
    <row r="25" spans="1:2" x14ac:dyDescent="0.3">
      <c r="A25" s="1" t="s">
        <v>18</v>
      </c>
      <c r="B25" t="s">
        <v>41</v>
      </c>
    </row>
    <row r="26" spans="1:2" x14ac:dyDescent="0.3">
      <c r="A26" s="2" t="s">
        <v>4</v>
      </c>
      <c r="B26" s="5"/>
    </row>
    <row r="27" spans="1:2" x14ac:dyDescent="0.3">
      <c r="A27" s="4" t="s">
        <v>27</v>
      </c>
      <c r="B27" s="5">
        <v>2</v>
      </c>
    </row>
    <row r="28" spans="1:2" x14ac:dyDescent="0.3">
      <c r="A28" s="4" t="s">
        <v>28</v>
      </c>
      <c r="B28" s="5">
        <v>5</v>
      </c>
    </row>
    <row r="29" spans="1:2" x14ac:dyDescent="0.3">
      <c r="A29" s="4" t="s">
        <v>29</v>
      </c>
      <c r="B29" s="5">
        <v>22</v>
      </c>
    </row>
    <row r="30" spans="1:2" x14ac:dyDescent="0.3">
      <c r="A30" s="4" t="s">
        <v>30</v>
      </c>
      <c r="B30" s="5">
        <v>36</v>
      </c>
    </row>
    <row r="31" spans="1:2" x14ac:dyDescent="0.3">
      <c r="A31" s="4" t="s">
        <v>31</v>
      </c>
      <c r="B31" s="5">
        <v>47</v>
      </c>
    </row>
    <row r="32" spans="1:2" x14ac:dyDescent="0.3">
      <c r="A32" s="4" t="s">
        <v>32</v>
      </c>
      <c r="B32" s="5">
        <v>30</v>
      </c>
    </row>
    <row r="33" spans="1:2" x14ac:dyDescent="0.3">
      <c r="A33" s="4" t="s">
        <v>33</v>
      </c>
      <c r="B33" s="5">
        <v>6</v>
      </c>
    </row>
    <row r="34" spans="1:2" x14ac:dyDescent="0.3">
      <c r="A34" s="4" t="s">
        <v>34</v>
      </c>
      <c r="B34" s="5">
        <v>2</v>
      </c>
    </row>
    <row r="35" spans="1:2" x14ac:dyDescent="0.3">
      <c r="A35" s="4" t="s">
        <v>35</v>
      </c>
      <c r="B35" s="5">
        <v>1</v>
      </c>
    </row>
    <row r="36" spans="1:2" x14ac:dyDescent="0.3">
      <c r="A36" s="2" t="s">
        <v>10</v>
      </c>
      <c r="B36" s="5"/>
    </row>
    <row r="37" spans="1:2" x14ac:dyDescent="0.3">
      <c r="A37" s="4" t="s">
        <v>28</v>
      </c>
      <c r="B37" s="5">
        <v>1</v>
      </c>
    </row>
    <row r="38" spans="1:2" x14ac:dyDescent="0.3">
      <c r="A38" s="4" t="s">
        <v>29</v>
      </c>
      <c r="B38" s="5">
        <v>2</v>
      </c>
    </row>
    <row r="39" spans="1:2" x14ac:dyDescent="0.3">
      <c r="A39" s="4" t="s">
        <v>30</v>
      </c>
      <c r="B39" s="5">
        <v>9</v>
      </c>
    </row>
    <row r="40" spans="1:2" x14ac:dyDescent="0.3">
      <c r="A40" s="4" t="s">
        <v>31</v>
      </c>
      <c r="B40" s="5">
        <v>15</v>
      </c>
    </row>
    <row r="41" spans="1:2" x14ac:dyDescent="0.3">
      <c r="A41" s="4" t="s">
        <v>32</v>
      </c>
      <c r="B41" s="5">
        <v>21</v>
      </c>
    </row>
    <row r="42" spans="1:2" x14ac:dyDescent="0.3">
      <c r="A42" s="4" t="s">
        <v>33</v>
      </c>
      <c r="B42" s="5">
        <v>12</v>
      </c>
    </row>
    <row r="43" spans="1:2" x14ac:dyDescent="0.3">
      <c r="A43" s="4" t="s">
        <v>34</v>
      </c>
      <c r="B43" s="5">
        <v>4</v>
      </c>
    </row>
    <row r="44" spans="1:2" x14ac:dyDescent="0.3">
      <c r="A44" s="4" t="s">
        <v>35</v>
      </c>
      <c r="B44" s="5">
        <v>4</v>
      </c>
    </row>
    <row r="45" spans="1:2" x14ac:dyDescent="0.3">
      <c r="A45" s="2" t="s">
        <v>7</v>
      </c>
      <c r="B45" s="5"/>
    </row>
    <row r="46" spans="1:2" x14ac:dyDescent="0.3">
      <c r="A46" s="4" t="s">
        <v>33</v>
      </c>
      <c r="B46" s="5">
        <v>1</v>
      </c>
    </row>
    <row r="47" spans="1:2" x14ac:dyDescent="0.3">
      <c r="A47" s="4" t="s">
        <v>34</v>
      </c>
      <c r="B47" s="5">
        <v>13</v>
      </c>
    </row>
    <row r="48" spans="1:2" x14ac:dyDescent="0.3">
      <c r="A48" s="4" t="s">
        <v>35</v>
      </c>
      <c r="B48" s="5">
        <v>30</v>
      </c>
    </row>
    <row r="49" spans="1:2" x14ac:dyDescent="0.3">
      <c r="A49" s="4" t="s">
        <v>36</v>
      </c>
      <c r="B49" s="5">
        <v>36</v>
      </c>
    </row>
    <row r="50" spans="1:2" x14ac:dyDescent="0.3">
      <c r="A50" s="4" t="s">
        <v>37</v>
      </c>
      <c r="B50" s="5">
        <v>24</v>
      </c>
    </row>
    <row r="51" spans="1:2" x14ac:dyDescent="0.3">
      <c r="A51" s="4" t="s">
        <v>38</v>
      </c>
      <c r="B51" s="5">
        <v>11</v>
      </c>
    </row>
    <row r="52" spans="1:2" x14ac:dyDescent="0.3">
      <c r="A52" s="4" t="s">
        <v>40</v>
      </c>
      <c r="B52" s="5">
        <v>8</v>
      </c>
    </row>
    <row r="53" spans="1:2" x14ac:dyDescent="0.3">
      <c r="A53" s="2" t="s">
        <v>19</v>
      </c>
      <c r="B53" s="5">
        <v>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2E23B-CE8E-4CBB-A986-40B24298E1F3}">
  <dimension ref="A1"/>
  <sheetViews>
    <sheetView zoomScale="83" workbookViewId="0">
      <selection activeCell="H20" sqref="H20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5F8E-70AF-479D-88FA-9F1ACAF9A49E}">
  <dimension ref="A1"/>
  <sheetViews>
    <sheetView showGridLines="0" tabSelected="1" topLeftCell="A3" zoomScale="50" zoomScaleNormal="50" workbookViewId="0">
      <selection activeCell="AI39" sqref="AI39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2FC51B9E-CBAD-4950-AE19-E28C6B5F1AC2}">
  <ds:schemaRefs/>
</ds:datastoreItem>
</file>

<file path=customXml/itemProps2.xml><?xml version="1.0" encoding="utf-8"?>
<ds:datastoreItem xmlns:ds="http://schemas.openxmlformats.org/officeDocument/2006/customXml" ds:itemID="{7FF011FE-ED1C-4A0C-9316-149BBFA95A30}">
  <ds:schemaRefs/>
</ds:datastoreItem>
</file>

<file path=customXml/itemProps3.xml><?xml version="1.0" encoding="utf-8"?>
<ds:datastoreItem xmlns:ds="http://schemas.openxmlformats.org/officeDocument/2006/customXml" ds:itemID="{5E4DBE8C-9098-4940-9D05-24AFB78A903A}">
  <ds:schemaRefs/>
</ds:datastoreItem>
</file>

<file path=customXml/itemProps4.xml><?xml version="1.0" encoding="utf-8"?>
<ds:datastoreItem xmlns:ds="http://schemas.openxmlformats.org/officeDocument/2006/customXml" ds:itemID="{49EA5ED8-FF91-4F16-A287-EFDB1AA100F8}">
  <ds:schemaRefs/>
</ds:datastoreItem>
</file>

<file path=customXml/itemProps5.xml><?xml version="1.0" encoding="utf-8"?>
<ds:datastoreItem xmlns:ds="http://schemas.openxmlformats.org/officeDocument/2006/customXml" ds:itemID="{27C2BF1A-3D5C-47AA-82CF-AA6AB5367206}">
  <ds:schemaRefs/>
</ds:datastoreItem>
</file>

<file path=customXml/itemProps6.xml><?xml version="1.0" encoding="utf-8"?>
<ds:datastoreItem xmlns:ds="http://schemas.openxmlformats.org/officeDocument/2006/customXml" ds:itemID="{14AB9269-DB64-46F6-8ADB-EAD2ABB51584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8468AE12-5C83-41E7-AD17-49E44266DC8F}">
  <ds:schemaRefs/>
</ds:datastoreItem>
</file>

<file path=customXml/itemProps8.xml><?xml version="1.0" encoding="utf-8"?>
<ds:datastoreItem xmlns:ds="http://schemas.openxmlformats.org/officeDocument/2006/customXml" ds:itemID="{4EF7C7AB-6911-476E-A86E-7AF3DB2E69C8}">
  <ds:schemaRefs/>
</ds:datastoreItem>
</file>

<file path=customXml/itemProps9.xml><?xml version="1.0" encoding="utf-8"?>
<ds:datastoreItem xmlns:ds="http://schemas.openxmlformats.org/officeDocument/2006/customXml" ds:itemID="{36279662-0F5E-4228-AC25-07037BF6BBB5}">
  <ds:schemaRefs/>
</ds:datastoreItem>
</file>

<file path=customXml/itemProps10.xml><?xml version="1.0" encoding="utf-8"?>
<ds:datastoreItem xmlns:ds="http://schemas.openxmlformats.org/officeDocument/2006/customXml" ds:itemID="{9E642C4A-4DB7-4C13-ACA2-79B647F93D86}">
  <ds:schemaRefs/>
</ds:datastoreItem>
</file>

<file path=customXml/itemProps11.xml><?xml version="1.0" encoding="utf-8"?>
<ds:datastoreItem xmlns:ds="http://schemas.openxmlformats.org/officeDocument/2006/customXml" ds:itemID="{0C4CAAF8-456C-4BC6-BDCB-36373FF633D1}">
  <ds:schemaRefs/>
</ds:datastoreItem>
</file>

<file path=customXml/itemProps12.xml><?xml version="1.0" encoding="utf-8"?>
<ds:datastoreItem xmlns:ds="http://schemas.openxmlformats.org/officeDocument/2006/customXml" ds:itemID="{4D3EA9F3-4B00-47C0-B730-E27F1B3EC128}">
  <ds:schemaRefs/>
</ds:datastoreItem>
</file>

<file path=customXml/itemProps13.xml><?xml version="1.0" encoding="utf-8"?>
<ds:datastoreItem xmlns:ds="http://schemas.openxmlformats.org/officeDocument/2006/customXml" ds:itemID="{E3BED76F-6BA4-4F96-B42A-21A4B21CBB5C}">
  <ds:schemaRefs/>
</ds:datastoreItem>
</file>

<file path=customXml/itemProps14.xml><?xml version="1.0" encoding="utf-8"?>
<ds:datastoreItem xmlns:ds="http://schemas.openxmlformats.org/officeDocument/2006/customXml" ds:itemID="{5F945F33-CA53-4BD5-891E-D27BE6D45297}">
  <ds:schemaRefs/>
</ds:datastoreItem>
</file>

<file path=customXml/itemProps15.xml><?xml version="1.0" encoding="utf-8"?>
<ds:datastoreItem xmlns:ds="http://schemas.openxmlformats.org/officeDocument/2006/customXml" ds:itemID="{71722BA1-D56D-45BE-9359-7B7C019D9EC1}">
  <ds:schemaRefs/>
</ds:datastoreItem>
</file>

<file path=customXml/itemProps16.xml><?xml version="1.0" encoding="utf-8"?>
<ds:datastoreItem xmlns:ds="http://schemas.openxmlformats.org/officeDocument/2006/customXml" ds:itemID="{C9388E22-C65E-4169-A6EC-BF83479A9A35}">
  <ds:schemaRefs/>
</ds:datastoreItem>
</file>

<file path=customXml/itemProps17.xml><?xml version="1.0" encoding="utf-8"?>
<ds:datastoreItem xmlns:ds="http://schemas.openxmlformats.org/officeDocument/2006/customXml" ds:itemID="{998CE87E-5006-4885-A2B1-8A3938AAFC6E}">
  <ds:schemaRefs/>
</ds:datastoreItem>
</file>

<file path=customXml/itemProps18.xml><?xml version="1.0" encoding="utf-8"?>
<ds:datastoreItem xmlns:ds="http://schemas.openxmlformats.org/officeDocument/2006/customXml" ds:itemID="{14DF35D2-1F09-4B1C-B08D-28631613F563}">
  <ds:schemaRefs/>
</ds:datastoreItem>
</file>

<file path=customXml/itemProps19.xml><?xml version="1.0" encoding="utf-8"?>
<ds:datastoreItem xmlns:ds="http://schemas.openxmlformats.org/officeDocument/2006/customXml" ds:itemID="{1FAC5C83-0205-4EA6-BA18-EBFE2732F5A9}">
  <ds:schemaRefs/>
</ds:datastoreItem>
</file>

<file path=customXml/itemProps20.xml><?xml version="1.0" encoding="utf-8"?>
<ds:datastoreItem xmlns:ds="http://schemas.openxmlformats.org/officeDocument/2006/customXml" ds:itemID="{33CB3978-6393-40B5-BB85-561DB9E680AF}">
  <ds:schemaRefs/>
</ds:datastoreItem>
</file>

<file path=customXml/itemProps21.xml><?xml version="1.0" encoding="utf-8"?>
<ds:datastoreItem xmlns:ds="http://schemas.openxmlformats.org/officeDocument/2006/customXml" ds:itemID="{314796C5-ADEE-4A65-A009-7DB916AB44F6}">
  <ds:schemaRefs/>
</ds:datastoreItem>
</file>

<file path=customXml/itemProps22.xml><?xml version="1.0" encoding="utf-8"?>
<ds:datastoreItem xmlns:ds="http://schemas.openxmlformats.org/officeDocument/2006/customXml" ds:itemID="{29BA4786-7715-42BE-8DA7-E24A583F9F0D}">
  <ds:schemaRefs/>
</ds:datastoreItem>
</file>

<file path=customXml/itemProps23.xml><?xml version="1.0" encoding="utf-8"?>
<ds:datastoreItem xmlns:ds="http://schemas.openxmlformats.org/officeDocument/2006/customXml" ds:itemID="{992221E5-491B-491E-A8D7-5D3348BB0DEF}">
  <ds:schemaRefs/>
</ds:datastoreItem>
</file>

<file path=customXml/itemProps24.xml><?xml version="1.0" encoding="utf-8"?>
<ds:datastoreItem xmlns:ds="http://schemas.openxmlformats.org/officeDocument/2006/customXml" ds:itemID="{C14E47B0-BBD3-45F9-A86C-CBE67A2629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penguins_size</vt:lpstr>
      <vt:lpstr>Islas</vt:lpstr>
      <vt:lpstr>Sexo</vt:lpstr>
      <vt:lpstr>Especies</vt:lpstr>
      <vt:lpstr>Hoja1</vt:lpstr>
      <vt:lpstr>Tablas dinámicas</vt:lpstr>
      <vt:lpstr>Gráficas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Palma González</dc:creator>
  <cp:lastModifiedBy>Jesús Palma González</cp:lastModifiedBy>
  <dcterms:created xsi:type="dcterms:W3CDTF">2026-09-18T17:48:31Z</dcterms:created>
  <dcterms:modified xsi:type="dcterms:W3CDTF">2026-09-21T17:43:12Z</dcterms:modified>
</cp:coreProperties>
</file>